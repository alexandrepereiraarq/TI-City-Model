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i-city-model\docs\"/>
    </mc:Choice>
  </mc:AlternateContent>
  <xr:revisionPtr revIDLastSave="0" documentId="13_ncr:1_{1946B705-C2DB-439C-9733-A4A1407AD8C4}" xr6:coauthVersionLast="47" xr6:coauthVersionMax="47" xr10:uidLastSave="{00000000-0000-0000-0000-000000000000}"/>
  <bookViews>
    <workbookView xWindow="-98" yWindow="-98" windowWidth="19396" windowHeight="11475" xr2:uid="{C033282C-9B5E-407A-83E6-51C63E348AF8}"/>
  </bookViews>
  <sheets>
    <sheet name="simulation runs" sheetId="6" r:id="rId1"/>
    <sheet name="run_results_template" sheetId="9" r:id="rId2"/>
    <sheet name="spatial_inputs_metrics" sheetId="3" r:id="rId3"/>
    <sheet name="model para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1" i="6" l="1"/>
  <c r="A112" i="6"/>
  <c r="A113" i="6"/>
  <c r="A114" i="6"/>
  <c r="A115" i="6"/>
  <c r="A116" i="6"/>
  <c r="A117" i="6"/>
  <c r="A118" i="6"/>
  <c r="A119" i="6"/>
  <c r="A120" i="6"/>
  <c r="A121" i="6"/>
  <c r="A122" i="6"/>
  <c r="A103" i="6"/>
  <c r="A104" i="6"/>
  <c r="A105" i="6"/>
  <c r="A106" i="6"/>
  <c r="A107" i="6"/>
  <c r="A108" i="6"/>
  <c r="A109" i="6"/>
  <c r="A110" i="6"/>
  <c r="A102" i="6"/>
  <c r="A100" i="6"/>
  <c r="A101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34" i="6"/>
  <c r="A35" i="6"/>
  <c r="A36" i="6"/>
  <c r="A37" i="6"/>
  <c r="A38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2" i="6"/>
  <c r="J13" i="4"/>
  <c r="I13" i="4"/>
  <c r="H13" i="4"/>
  <c r="G13" i="4"/>
  <c r="F13" i="4"/>
</calcChain>
</file>

<file path=xl/sharedStrings.xml><?xml version="1.0" encoding="utf-8"?>
<sst xmlns="http://schemas.openxmlformats.org/spreadsheetml/2006/main" count="1428" uniqueCount="860">
  <si>
    <t>Manila</t>
  </si>
  <si>
    <t>Mumbai</t>
  </si>
  <si>
    <t>-</t>
  </si>
  <si>
    <t>Accra</t>
  </si>
  <si>
    <t>Data</t>
  </si>
  <si>
    <t>max-pxcor</t>
  </si>
  <si>
    <t>max-pycor</t>
  </si>
  <si>
    <t>patch size</t>
  </si>
  <si>
    <t>attractive2000</t>
  </si>
  <si>
    <t>attractive2015</t>
  </si>
  <si>
    <t>bu2000_dist</t>
  </si>
  <si>
    <t>bu2015_dist</t>
  </si>
  <si>
    <t>cbd</t>
  </si>
  <si>
    <t>density2000</t>
  </si>
  <si>
    <t>density2015</t>
  </si>
  <si>
    <t>districts</t>
  </si>
  <si>
    <t>exclusion</t>
  </si>
  <si>
    <t>healthfacilities</t>
  </si>
  <si>
    <t>income</t>
  </si>
  <si>
    <t>landvalue</t>
  </si>
  <si>
    <t>markets</t>
  </si>
  <si>
    <t>road-presence</t>
  </si>
  <si>
    <t>roads</t>
  </si>
  <si>
    <t>schools</t>
  </si>
  <si>
    <t>shoppingmalls</t>
  </si>
  <si>
    <t>slope</t>
  </si>
  <si>
    <t>structureplan</t>
  </si>
  <si>
    <t>suburban</t>
  </si>
  <si>
    <t>tenure</t>
  </si>
  <si>
    <t>urban2000</t>
  </si>
  <si>
    <t>urban2015</t>
  </si>
  <si>
    <t>airport</t>
  </si>
  <si>
    <t>household-number</t>
  </si>
  <si>
    <t>percent-mid-income-households</t>
  </si>
  <si>
    <t>percent-high-income-households</t>
  </si>
  <si>
    <t>estate-developer-number</t>
  </si>
  <si>
    <t>percent-mid-end-developers</t>
  </si>
  <si>
    <t>simulation-period</t>
  </si>
  <si>
    <t>slope_coefficient</t>
  </si>
  <si>
    <t>critical_slope</t>
  </si>
  <si>
    <t>development_control</t>
  </si>
  <si>
    <t>float64</t>
  </si>
  <si>
    <t>categorical (in float64)</t>
  </si>
  <si>
    <t>acc_min</t>
  </si>
  <si>
    <t>acc_mean</t>
  </si>
  <si>
    <t>acc_max</t>
  </si>
  <si>
    <t>acc_type</t>
  </si>
  <si>
    <t>mum_min</t>
  </si>
  <si>
    <t>mum_mean</t>
  </si>
  <si>
    <t>mum_max</t>
  </si>
  <si>
    <t>percent-low-income-households</t>
  </si>
  <si>
    <t>xllcorner</t>
  </si>
  <si>
    <t>yllcorner</t>
  </si>
  <si>
    <t>cellsize</t>
  </si>
  <si>
    <t>NODATA_value</t>
  </si>
  <si>
    <t>ncols</t>
  </si>
  <si>
    <t>nrows</t>
  </si>
  <si>
    <t>integer (model input)</t>
  </si>
  <si>
    <t>float (model input)</t>
  </si>
  <si>
    <t>percent-high-end-developers</t>
  </si>
  <si>
    <t>define</t>
  </si>
  <si>
    <t>Model parameters</t>
  </si>
  <si>
    <t>obs 24.10.2024</t>
  </si>
  <si>
    <t>JAK notes</t>
  </si>
  <si>
    <t>MUM notes</t>
  </si>
  <si>
    <t>MAN notes</t>
  </si>
  <si>
    <t>type</t>
  </si>
  <si>
    <t>man_min</t>
  </si>
  <si>
    <t>man_mean</t>
  </si>
  <si>
    <t>man_max</t>
  </si>
  <si>
    <t>obs 26.11.2024</t>
  </si>
  <si>
    <t>prepare for MUM, MAN, JAK</t>
  </si>
  <si>
    <t>MUM</t>
  </si>
  <si>
    <t>JAK</t>
  </si>
  <si>
    <t>Mumbai 150 m res</t>
  </si>
  <si>
    <t>Manila 150 m res</t>
  </si>
  <si>
    <t>k (parcel size scale factor)</t>
  </si>
  <si>
    <t>Definition</t>
  </si>
  <si>
    <t>AOI x-axis cell count</t>
  </si>
  <si>
    <t>AOI y-axis cell count</t>
  </si>
  <si>
    <t>AOI latitudinal origin</t>
  </si>
  <si>
    <t>AOI longitudinal origin</t>
  </si>
  <si>
    <t>established experimentally</t>
  </si>
  <si>
    <t>AOI x-axis cell count (1 unit smaller)</t>
  </si>
  <si>
    <t>AOI y-axis cell count (1 unit smaller)</t>
  </si>
  <si>
    <t>mean number of parcels fitting in one model cell</t>
  </si>
  <si>
    <t>proportion established in the Census for the AOI</t>
  </si>
  <si>
    <t>established by running SLEUTH's calibration process</t>
  </si>
  <si>
    <t>based on case study assumptions</t>
  </si>
  <si>
    <t>low income utility suburb</t>
  </si>
  <si>
    <t>low income utility neighbourhood</t>
  </si>
  <si>
    <t>low income utility built up</t>
  </si>
  <si>
    <t>low income utility CBD</t>
  </si>
  <si>
    <t>low income utility mall</t>
  </si>
  <si>
    <t>low income utility markets</t>
  </si>
  <si>
    <t>low income utility density</t>
  </si>
  <si>
    <t>low income utility schools</t>
  </si>
  <si>
    <t>low income utility road distance</t>
  </si>
  <si>
    <t>low income utility attractive areas</t>
  </si>
  <si>
    <t>low income utility health</t>
  </si>
  <si>
    <t>middle income utility suburb</t>
  </si>
  <si>
    <t>middle income utility neighbourhood</t>
  </si>
  <si>
    <t>middle income utility built up</t>
  </si>
  <si>
    <t>middle income utility CBD</t>
  </si>
  <si>
    <t>middle income utility mall</t>
  </si>
  <si>
    <t>middle income utility markets</t>
  </si>
  <si>
    <t>middle income utility road distance</t>
  </si>
  <si>
    <t>middle income utility density</t>
  </si>
  <si>
    <t>middle income utility schools</t>
  </si>
  <si>
    <t>middle income utility attractive areas</t>
  </si>
  <si>
    <t>middle income utility health</t>
  </si>
  <si>
    <t>ACC</t>
  </si>
  <si>
    <t>low income utility random</t>
  </si>
  <si>
    <t>high income utility suburb</t>
  </si>
  <si>
    <t>high income utility neighbourhood</t>
  </si>
  <si>
    <t>high income utility built up</t>
  </si>
  <si>
    <t>high income utility CBD</t>
  </si>
  <si>
    <t>high income utility mall</t>
  </si>
  <si>
    <t>high income utility markets</t>
  </si>
  <si>
    <t>high income utility road distance</t>
  </si>
  <si>
    <t>high income utility density</t>
  </si>
  <si>
    <t>high income utility schools</t>
  </si>
  <si>
    <t>high income utility attractive areas</t>
  </si>
  <si>
    <t>high income utility health</t>
  </si>
  <si>
    <t>preliminary set to ACC values</t>
  </si>
  <si>
    <t>middle income utility random</t>
  </si>
  <si>
    <t>?</t>
  </si>
  <si>
    <t>high income utility random</t>
  </si>
  <si>
    <t>notes</t>
  </si>
  <si>
    <t>sim_numb</t>
  </si>
  <si>
    <t>initial run</t>
  </si>
  <si>
    <t>Testing model logic. Inputs from Manila, parameters from Accra.</t>
  </si>
  <si>
    <t xml:space="preserve">sensitivity test utility function weights </t>
  </si>
  <si>
    <t>228167.435700000002</t>
  </si>
  <si>
    <t>1523128.483699999982</t>
  </si>
  <si>
    <t>Problem with the slope layer.</t>
  </si>
  <si>
    <t>Corrected slope layer. Reduced HH number to 18.000</t>
  </si>
  <si>
    <t>projected total new household number in the period divided by k</t>
  </si>
  <si>
    <t>correcting exclusion layer, and including a new parameter: distance to coastal waters</t>
  </si>
  <si>
    <t xml:space="preserve">new sensitivity function, adding road distance </t>
  </si>
  <si>
    <t>using SLEUTH outputs to shape the exclusion layer, revised number of households</t>
  </si>
  <si>
    <t>low income utility water</t>
  </si>
  <si>
    <t>middle income utility water</t>
  </si>
  <si>
    <t>high income utility water</t>
  </si>
  <si>
    <t>Manila 150 m res, SLEUTH AOI</t>
  </si>
  <si>
    <t>MAN_150</t>
  </si>
  <si>
    <t>1553962.60159999</t>
  </si>
  <si>
    <t>244017.744700000010</t>
  </si>
  <si>
    <t>MAN_150_SLEUTH_standard</t>
  </si>
  <si>
    <t>MAN_150_SLEUTH_SSP1</t>
  </si>
  <si>
    <t>MAN_150_SLEUTH_SSP2</t>
  </si>
  <si>
    <t>MAN_150_SLEUTH_SSP3</t>
  </si>
  <si>
    <t>percent-deprived-households</t>
  </si>
  <si>
    <t>deprived utility suburb</t>
  </si>
  <si>
    <t>deprived utility neighbourhood</t>
  </si>
  <si>
    <t>deprived utility built up</t>
  </si>
  <si>
    <t>deprived utility CBD</t>
  </si>
  <si>
    <t>deprived utility mall</t>
  </si>
  <si>
    <t>deprived utility markets</t>
  </si>
  <si>
    <t>deprived utility road distance</t>
  </si>
  <si>
    <t>deprived utility density</t>
  </si>
  <si>
    <t>deprived utility schools</t>
  </si>
  <si>
    <t>deprived utility attractive areas</t>
  </si>
  <si>
    <t>deprived utility health</t>
  </si>
  <si>
    <t>ldeprived utility water</t>
  </si>
  <si>
    <t>deprived utility random</t>
  </si>
  <si>
    <t>creating deprived income class</t>
  </si>
  <si>
    <t>adjusting deprived income class</t>
  </si>
  <si>
    <t>creating scenarios - SSP3</t>
  </si>
  <si>
    <t>creating scenarios - SSP2</t>
  </si>
  <si>
    <t>creating scenarios - SSP1</t>
  </si>
  <si>
    <t>adjusting SSP2, low development number</t>
  </si>
  <si>
    <t>standard exclusion, with new inputs: cost-distance calculation instead of Euclidian distance</t>
  </si>
  <si>
    <t>set the maxof random cells for 2 (instead of 3)</t>
  </si>
  <si>
    <t>This results in "clumping" the new households for DP and LI, while MI and HI are diffuse.</t>
  </si>
  <si>
    <t>calibrating utility weights</t>
  </si>
  <si>
    <t>Increasing the differences between agent types</t>
  </si>
  <si>
    <t>new utility inputs, majoring road influence</t>
  </si>
  <si>
    <t>all with cost-distance, revised density. Road influence is 10x greater than others in utility</t>
  </si>
  <si>
    <t>constraining maxof</t>
  </si>
  <si>
    <t>reducing maxof for all agent types. DP/LI=1, MI/HI=2</t>
  </si>
  <si>
    <t>varying the maxof random cells, DP/LI=1 , MI/HI=4</t>
  </si>
  <si>
    <t>constraining maxof to 1 for all agent types</t>
  </si>
  <si>
    <t>constrained maxof and SSP3 exclusion layer</t>
  </si>
  <si>
    <t>still results in an error when allocating agents</t>
  </si>
  <si>
    <t>removing no-cost areas</t>
  </si>
  <si>
    <t>replacing the utility function complements</t>
  </si>
  <si>
    <t>simplifying weights to 1, 3, or 9 to increase contrast</t>
  </si>
  <si>
    <t>setting all weights to 0 except roads</t>
  </si>
  <si>
    <t>no real estate developer agents or neighbourhood effect</t>
  </si>
  <si>
    <t xml:space="preserve">no real estate developer agents </t>
  </si>
  <si>
    <t>standard calibration, working, no RED agents</t>
  </si>
  <si>
    <t>standard calibration, working w/ RED agents</t>
  </si>
  <si>
    <t>SSP1 calibration, working</t>
  </si>
  <si>
    <t>SSP2 calibration, working</t>
  </si>
  <si>
    <t>SSP3 calibration, working</t>
  </si>
  <si>
    <t>case_city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</si>
  <si>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</si>
  <si>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</si>
  <si>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</si>
  <si>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</si>
  <si>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</si>
  <si>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</si>
  <si>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</si>
  <si>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</si>
  <si>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</si>
  <si>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</si>
  <si>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</si>
  <si>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</si>
  <si>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</si>
  <si>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</si>
  <si>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</si>
  <si>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</si>
  <si>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</si>
  <si>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</si>
  <si>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</si>
  <si>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</si>
  <si>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</si>
  <si>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</si>
  <si>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</si>
  <si>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</si>
  <si>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</si>
  <si>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</si>
  <si>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</si>
  <si>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</si>
  <si>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</si>
  <si>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</si>
  <si>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</si>
  <si>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</si>
  <si>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MAN</t>
  </si>
  <si>
    <t>sim_code</t>
  </si>
  <si>
    <t>model_version</t>
  </si>
  <si>
    <t>description</t>
  </si>
  <si>
    <t>032</t>
  </si>
  <si>
    <t>033</t>
  </si>
  <si>
    <t>034</t>
  </si>
  <si>
    <t>035</t>
  </si>
  <si>
    <t>036</t>
  </si>
  <si>
    <t>SSP1, first run</t>
  </si>
  <si>
    <t>std scenario, correcting slope and exclusion</t>
  </si>
  <si>
    <t>std scenario, first run</t>
  </si>
  <si>
    <t>SSP2, first run</t>
  </si>
  <si>
    <t>SSP3, first run</t>
  </si>
  <si>
    <t>output folder</t>
  </si>
  <si>
    <t>R001_DT24 12 09 1118_N calibration</t>
  </si>
  <si>
    <t>R002_DT24 12 011 1137_N calibration</t>
  </si>
  <si>
    <t>R003_DT24 12 12 1545_N calibration</t>
  </si>
  <si>
    <t>R004_DT24 12 13 1013_N calibration SLEUTH exclusion</t>
  </si>
  <si>
    <t>R005_DT24 12 13 1835_N calibration SLEUTH and water</t>
  </si>
  <si>
    <t>R006_DT24 12 13 2033_N calibration deprived income class</t>
  </si>
  <si>
    <t>R007_DT24 12 16 1405_N calibration deprived income class</t>
  </si>
  <si>
    <t>R008_DT24 12 17 1211_N calibration SSP3</t>
  </si>
  <si>
    <t>R009_DT24 12 17 1228 _N calibration SSP2</t>
  </si>
  <si>
    <t>R010_DT24 12 17 1235_N calibration SSP1</t>
  </si>
  <si>
    <t>R011_DT24 12 17 1549_N calibration SSP2</t>
  </si>
  <si>
    <t>R012_DT25 03 06 1918_N calibration new inputs</t>
  </si>
  <si>
    <t>R013_DT25 03 06 2025_N maxof 2</t>
  </si>
  <si>
    <t>R014_DT25 03 06 2034_N variable maxof</t>
  </si>
  <si>
    <t>R015_DT25 03 07 0045_N calibrating utility weights</t>
  </si>
  <si>
    <t>R016_DT25 03 07 0104_N new ut layers</t>
  </si>
  <si>
    <t>R017_DT25 03 07 0120_N restricting maxof</t>
  </si>
  <si>
    <t>R018_DT25 03 07 0130_N maxof 1 for all</t>
  </si>
  <si>
    <t>R019_DT25 03 07 0920_N SSP3 exclusion again</t>
  </si>
  <si>
    <t>R020_DT25 03 07 1100_N removing no-cost areas</t>
  </si>
  <si>
    <t>R021_DT25 03 11 1846_N no complements in utility</t>
  </si>
  <si>
    <t>R022_DT25 03 12 1740_N utility weights</t>
  </si>
  <si>
    <t>ADM2_BA</t>
  </si>
  <si>
    <t>Jagakarsa</t>
  </si>
  <si>
    <t>ID3171010</t>
  </si>
  <si>
    <t>Pasar Minggu</t>
  </si>
  <si>
    <t>ID3171020</t>
  </si>
  <si>
    <t>Cilandak</t>
  </si>
  <si>
    <t>ID3171030</t>
  </si>
  <si>
    <t>Pesanggrahan</t>
  </si>
  <si>
    <t>ID3171040</t>
  </si>
  <si>
    <t>Kebayoran Lama</t>
  </si>
  <si>
    <t>ID3171050</t>
  </si>
  <si>
    <t>Kebayoran Baru</t>
  </si>
  <si>
    <t>ID3171060</t>
  </si>
  <si>
    <t>Mampang Prapatan</t>
  </si>
  <si>
    <t>ID3171070</t>
  </si>
  <si>
    <t>Pancoran</t>
  </si>
  <si>
    <t>ID3171080</t>
  </si>
  <si>
    <t>Tebet</t>
  </si>
  <si>
    <t>ID3171090</t>
  </si>
  <si>
    <t>Setia Budi</t>
  </si>
  <si>
    <t>ID3171100</t>
  </si>
  <si>
    <t>Pasar Rebo</t>
  </si>
  <si>
    <t>ID3172010</t>
  </si>
  <si>
    <t>Ciracas</t>
  </si>
  <si>
    <t>ID3172020</t>
  </si>
  <si>
    <t>Cipayung</t>
  </si>
  <si>
    <t>ID3172030</t>
  </si>
  <si>
    <t>Makasar</t>
  </si>
  <si>
    <t>ID3172040</t>
  </si>
  <si>
    <t>Kramat Jati</t>
  </si>
  <si>
    <t>ID3172050</t>
  </si>
  <si>
    <t>Jatinegara</t>
  </si>
  <si>
    <t>ID3172060</t>
  </si>
  <si>
    <t>Duren Sawit</t>
  </si>
  <si>
    <t>ID3172070</t>
  </si>
  <si>
    <t>Cakung</t>
  </si>
  <si>
    <t>ID3172080</t>
  </si>
  <si>
    <t>Pulo Gadung</t>
  </si>
  <si>
    <t>ID3172090</t>
  </si>
  <si>
    <t>Matraman</t>
  </si>
  <si>
    <t>ID3172100</t>
  </si>
  <si>
    <t>Tanah Abang</t>
  </si>
  <si>
    <t>ID3173010</t>
  </si>
  <si>
    <t>Menteng</t>
  </si>
  <si>
    <t>ID3173020</t>
  </si>
  <si>
    <t>Senen</t>
  </si>
  <si>
    <t>ID3173030</t>
  </si>
  <si>
    <t>Johar Baru</t>
  </si>
  <si>
    <t>ID3173040</t>
  </si>
  <si>
    <t>Cempaka Putih</t>
  </si>
  <si>
    <t>ID3173050</t>
  </si>
  <si>
    <t>Kemayoran</t>
  </si>
  <si>
    <t>ID3173060</t>
  </si>
  <si>
    <t>Sawah Besar</t>
  </si>
  <si>
    <t>ID3173070</t>
  </si>
  <si>
    <t>Gambir</t>
  </si>
  <si>
    <t>ID3173080</t>
  </si>
  <si>
    <t>Kembangan</t>
  </si>
  <si>
    <t>ID3174010</t>
  </si>
  <si>
    <t>Kebon Jeruk</t>
  </si>
  <si>
    <t>ID3174020</t>
  </si>
  <si>
    <t>Palmerah</t>
  </si>
  <si>
    <t>ID3174030</t>
  </si>
  <si>
    <t>Grogol Petamburan</t>
  </si>
  <si>
    <t>ID3174040</t>
  </si>
  <si>
    <t>Tambora</t>
  </si>
  <si>
    <t>ID3174050</t>
  </si>
  <si>
    <t>Taman Sari</t>
  </si>
  <si>
    <t>ID3174060</t>
  </si>
  <si>
    <t>Cengkareng</t>
  </si>
  <si>
    <t>ID3174070</t>
  </si>
  <si>
    <t>Kali Deres</t>
  </si>
  <si>
    <t>ID3174080</t>
  </si>
  <si>
    <t>Penjaringan</t>
  </si>
  <si>
    <t>ID3175010</t>
  </si>
  <si>
    <t>Pademangan</t>
  </si>
  <si>
    <t>ID3175020</t>
  </si>
  <si>
    <t>Tanjung Priok</t>
  </si>
  <si>
    <t>ID3175030</t>
  </si>
  <si>
    <t>Koja</t>
  </si>
  <si>
    <t>ID3175040</t>
  </si>
  <si>
    <t>Kelapa Gading</t>
  </si>
  <si>
    <t>ID3175050</t>
  </si>
  <si>
    <t>Cilincing</t>
  </si>
  <si>
    <t>ID3175060</t>
  </si>
  <si>
    <t>Danau Sunter Dll</t>
  </si>
  <si>
    <t>ID3175555</t>
  </si>
  <si>
    <t>Danau Sunter</t>
  </si>
  <si>
    <t>ID3175888</t>
  </si>
  <si>
    <t>Nanggung</t>
  </si>
  <si>
    <t>ID3201010</t>
  </si>
  <si>
    <t>Leuwiliang</t>
  </si>
  <si>
    <t>ID3201020</t>
  </si>
  <si>
    <t>Leuwisadeng</t>
  </si>
  <si>
    <t>ID3201021</t>
  </si>
  <si>
    <t>Pamijahan</t>
  </si>
  <si>
    <t>ID3201030</t>
  </si>
  <si>
    <t>Cibungbulang</t>
  </si>
  <si>
    <t>ID3201040</t>
  </si>
  <si>
    <t>Ciampea</t>
  </si>
  <si>
    <t>ID3201050</t>
  </si>
  <si>
    <t>Tenjolaya</t>
  </si>
  <si>
    <t>ID3201051</t>
  </si>
  <si>
    <t>Dramaga</t>
  </si>
  <si>
    <t>ID3201060</t>
  </si>
  <si>
    <t>Ciomas</t>
  </si>
  <si>
    <t>ID3201070</t>
  </si>
  <si>
    <t>Tamansari</t>
  </si>
  <si>
    <t>ID3201071</t>
  </si>
  <si>
    <t>Cijeruk</t>
  </si>
  <si>
    <t>ID3201080</t>
  </si>
  <si>
    <t>Cigombong</t>
  </si>
  <si>
    <t>ID3201081</t>
  </si>
  <si>
    <t>Caringin</t>
  </si>
  <si>
    <t>ID3201090</t>
  </si>
  <si>
    <t>Ciawi</t>
  </si>
  <si>
    <t>ID3201100</t>
  </si>
  <si>
    <t>Cisarua</t>
  </si>
  <si>
    <t>ID3201110</t>
  </si>
  <si>
    <t>Megamendung</t>
  </si>
  <si>
    <t>ID3201120</t>
  </si>
  <si>
    <t>Sukaraja</t>
  </si>
  <si>
    <t>ID3201130</t>
  </si>
  <si>
    <t>Babakan Madang</t>
  </si>
  <si>
    <t>ID3201140</t>
  </si>
  <si>
    <t>Sukamakmur</t>
  </si>
  <si>
    <t>ID3201150</t>
  </si>
  <si>
    <t>Cariu</t>
  </si>
  <si>
    <t>ID3201160</t>
  </si>
  <si>
    <t>Tanjungsari</t>
  </si>
  <si>
    <t>ID3201161</t>
  </si>
  <si>
    <t>Jonggol</t>
  </si>
  <si>
    <t>ID3201170</t>
  </si>
  <si>
    <t>Cileungsi</t>
  </si>
  <si>
    <t>ID3201180</t>
  </si>
  <si>
    <t>Kelapa Nunggal</t>
  </si>
  <si>
    <t>ID3201181</t>
  </si>
  <si>
    <t>Gunung Putri</t>
  </si>
  <si>
    <t>ID3201190</t>
  </si>
  <si>
    <t>Citeureup</t>
  </si>
  <si>
    <t>ID3201200</t>
  </si>
  <si>
    <t>Cibinong</t>
  </si>
  <si>
    <t>ID3201210</t>
  </si>
  <si>
    <t>Bojong Gede</t>
  </si>
  <si>
    <t>ID3201220</t>
  </si>
  <si>
    <t>Tajur Halang</t>
  </si>
  <si>
    <t>ID3201221</t>
  </si>
  <si>
    <t>Kemang</t>
  </si>
  <si>
    <t>ID3201230</t>
  </si>
  <si>
    <t>Ranca Bungur</t>
  </si>
  <si>
    <t>ID3201231</t>
  </si>
  <si>
    <t>Parung</t>
  </si>
  <si>
    <t>ID3201240</t>
  </si>
  <si>
    <t>Ciseeng</t>
  </si>
  <si>
    <t>ID3201241</t>
  </si>
  <si>
    <t>Gunung Sindur</t>
  </si>
  <si>
    <t>ID3201250</t>
  </si>
  <si>
    <t>Rumpin</t>
  </si>
  <si>
    <t>ID3201260</t>
  </si>
  <si>
    <t>Cigudeg</t>
  </si>
  <si>
    <t>ID3201270</t>
  </si>
  <si>
    <t>Sukajaya</t>
  </si>
  <si>
    <t>ID3201271</t>
  </si>
  <si>
    <t>Jasinga</t>
  </si>
  <si>
    <t>ID3201280</t>
  </si>
  <si>
    <t>Tenjo</t>
  </si>
  <si>
    <t>ID3201290</t>
  </si>
  <si>
    <t>Parung Panjang</t>
  </si>
  <si>
    <t>ID3201300</t>
  </si>
  <si>
    <t>Setu</t>
  </si>
  <si>
    <t>ID3216010</t>
  </si>
  <si>
    <t>Serang Baru</t>
  </si>
  <si>
    <t>ID3216021</t>
  </si>
  <si>
    <t>Cikarang Pusat</t>
  </si>
  <si>
    <t>ID3216022</t>
  </si>
  <si>
    <t>Cikarang Selatan</t>
  </si>
  <si>
    <t>ID3216023</t>
  </si>
  <si>
    <t>Cibarusah</t>
  </si>
  <si>
    <t>ID3216030</t>
  </si>
  <si>
    <t>Bojongmangu</t>
  </si>
  <si>
    <t>ID3216031</t>
  </si>
  <si>
    <t>Cikarang Timur</t>
  </si>
  <si>
    <t>ID3216041</t>
  </si>
  <si>
    <t>Kedungwaringin</t>
  </si>
  <si>
    <t>ID3216050</t>
  </si>
  <si>
    <t>Cikarang Utara</t>
  </si>
  <si>
    <t>ID3216061</t>
  </si>
  <si>
    <t>Karangbahagia</t>
  </si>
  <si>
    <t>ID3216062</t>
  </si>
  <si>
    <t>Cibitung</t>
  </si>
  <si>
    <t>ID3216070</t>
  </si>
  <si>
    <t>Cikarang Barat</t>
  </si>
  <si>
    <t>ID3216071</t>
  </si>
  <si>
    <t>Tambun Selatan</t>
  </si>
  <si>
    <t>ID3216081</t>
  </si>
  <si>
    <t>Tambun Utara</t>
  </si>
  <si>
    <t>ID3216082</t>
  </si>
  <si>
    <t>Babelan</t>
  </si>
  <si>
    <t>ID3216090</t>
  </si>
  <si>
    <t>Tarumajaya</t>
  </si>
  <si>
    <t>ID3216100</t>
  </si>
  <si>
    <t>Tambelang</t>
  </si>
  <si>
    <t>ID3216110</t>
  </si>
  <si>
    <t>Sukawangi</t>
  </si>
  <si>
    <t>ID3216111</t>
  </si>
  <si>
    <t>Sukatani</t>
  </si>
  <si>
    <t>ID3216120</t>
  </si>
  <si>
    <t>Sukakarya</t>
  </si>
  <si>
    <t>ID3216121</t>
  </si>
  <si>
    <t>Pebayuran</t>
  </si>
  <si>
    <t>ID3216130</t>
  </si>
  <si>
    <t>Cabangbungin</t>
  </si>
  <si>
    <t>ID3216140</t>
  </si>
  <si>
    <t>Muara Gembong</t>
  </si>
  <si>
    <t>ID3216150</t>
  </si>
  <si>
    <t>Bogor Selatan</t>
  </si>
  <si>
    <t>ID3271010</t>
  </si>
  <si>
    <t>Bogor Timur</t>
  </si>
  <si>
    <t>ID3271020</t>
  </si>
  <si>
    <t>Bogor Utara</t>
  </si>
  <si>
    <t>ID3271030</t>
  </si>
  <si>
    <t>Bogor Tengah</t>
  </si>
  <si>
    <t>ID3271040</t>
  </si>
  <si>
    <t>Bogor Barat</t>
  </si>
  <si>
    <t>ID3271050</t>
  </si>
  <si>
    <t>Tanah Sereal</t>
  </si>
  <si>
    <t>ID3271060</t>
  </si>
  <si>
    <t>Pondokgede</t>
  </si>
  <si>
    <t>ID3275010</t>
  </si>
  <si>
    <t>Jatisampurna</t>
  </si>
  <si>
    <t>ID3275011</t>
  </si>
  <si>
    <t>Pondokmelati</t>
  </si>
  <si>
    <t>ID3275012</t>
  </si>
  <si>
    <t>Jatiasih</t>
  </si>
  <si>
    <t>ID3275020</t>
  </si>
  <si>
    <t>Bantargebang</t>
  </si>
  <si>
    <t>ID3275030</t>
  </si>
  <si>
    <t>Mustikajaya</t>
  </si>
  <si>
    <t>ID3275031</t>
  </si>
  <si>
    <t>Bekasi Timur</t>
  </si>
  <si>
    <t>ID3275040</t>
  </si>
  <si>
    <t>Rawalumbu</t>
  </si>
  <si>
    <t>ID3275041</t>
  </si>
  <si>
    <t>Bekasi Selatan</t>
  </si>
  <si>
    <t>ID3275050</t>
  </si>
  <si>
    <t>Bekasi Barat</t>
  </si>
  <si>
    <t>ID3275060</t>
  </si>
  <si>
    <t>Medan Satria</t>
  </si>
  <si>
    <t>ID3275061</t>
  </si>
  <si>
    <t>Bekasi Utara</t>
  </si>
  <si>
    <t>ID3275070</t>
  </si>
  <si>
    <t>Sawangan</t>
  </si>
  <si>
    <t>ID3276010</t>
  </si>
  <si>
    <t>Bojongsari</t>
  </si>
  <si>
    <t>ID3276011</t>
  </si>
  <si>
    <t>Pancoran Mas</t>
  </si>
  <si>
    <t>ID3276020</t>
  </si>
  <si>
    <t>ID3276021</t>
  </si>
  <si>
    <t>Sukma Jaya</t>
  </si>
  <si>
    <t>ID3276030</t>
  </si>
  <si>
    <t>Cilodong</t>
  </si>
  <si>
    <t>ID3276031</t>
  </si>
  <si>
    <t>Cimanggis</t>
  </si>
  <si>
    <t>ID3276040</t>
  </si>
  <si>
    <t>Tapos</t>
  </si>
  <si>
    <t>ID3276041</t>
  </si>
  <si>
    <t>Beji</t>
  </si>
  <si>
    <t>ID3276050</t>
  </si>
  <si>
    <t>Limo</t>
  </si>
  <si>
    <t>ID3276060</t>
  </si>
  <si>
    <t>Cinere</t>
  </si>
  <si>
    <t>ID3276061</t>
  </si>
  <si>
    <t>Cisoka</t>
  </si>
  <si>
    <t>ID3603010</t>
  </si>
  <si>
    <t>Solear</t>
  </si>
  <si>
    <t>ID3603011</t>
  </si>
  <si>
    <t>Tigaraksa</t>
  </si>
  <si>
    <t>ID3603020</t>
  </si>
  <si>
    <t>Jambe</t>
  </si>
  <si>
    <t>ID3603021</t>
  </si>
  <si>
    <t>Cikupa</t>
  </si>
  <si>
    <t>ID3603030</t>
  </si>
  <si>
    <t>Panongan</t>
  </si>
  <si>
    <t>ID3603040</t>
  </si>
  <si>
    <t>Curug</t>
  </si>
  <si>
    <t>ID3603050</t>
  </si>
  <si>
    <t>Kelapa Dua</t>
  </si>
  <si>
    <t>ID3603051</t>
  </si>
  <si>
    <t>Legok</t>
  </si>
  <si>
    <t>ID3603060</t>
  </si>
  <si>
    <t>Pagedangan</t>
  </si>
  <si>
    <t>ID3603070</t>
  </si>
  <si>
    <t>Cisauk</t>
  </si>
  <si>
    <t>ID3603081</t>
  </si>
  <si>
    <t>Pasarkemis</t>
  </si>
  <si>
    <t>ID3603120</t>
  </si>
  <si>
    <t>Sindang Jaya</t>
  </si>
  <si>
    <t>ID3603121</t>
  </si>
  <si>
    <t>Balaraja</t>
  </si>
  <si>
    <t>ID3603130</t>
  </si>
  <si>
    <t>Jayanti</t>
  </si>
  <si>
    <t>ID3603131</t>
  </si>
  <si>
    <t>Sukamulya</t>
  </si>
  <si>
    <t>ID3603132</t>
  </si>
  <si>
    <t>Kresek</t>
  </si>
  <si>
    <t>ID3603140</t>
  </si>
  <si>
    <t>Gunung Kaler</t>
  </si>
  <si>
    <t>ID3603141</t>
  </si>
  <si>
    <t>Kronjo</t>
  </si>
  <si>
    <t>ID3603150</t>
  </si>
  <si>
    <t>Mekar Baru</t>
  </si>
  <si>
    <t>ID3603151</t>
  </si>
  <si>
    <t>Mauk</t>
  </si>
  <si>
    <t>ID3603160</t>
  </si>
  <si>
    <t>Kemiri</t>
  </si>
  <si>
    <t>ID3603161</t>
  </si>
  <si>
    <t>Sukadiri</t>
  </si>
  <si>
    <t>ID3603162</t>
  </si>
  <si>
    <t>Rajeg</t>
  </si>
  <si>
    <t>ID3603170</t>
  </si>
  <si>
    <t>Sepatan</t>
  </si>
  <si>
    <t>ID3603180</t>
  </si>
  <si>
    <t>Sepatan Timur</t>
  </si>
  <si>
    <t>ID3603181</t>
  </si>
  <si>
    <t>Pakuhaji</t>
  </si>
  <si>
    <t>ID3603190</t>
  </si>
  <si>
    <t>Teluknaga</t>
  </si>
  <si>
    <t>ID3603200</t>
  </si>
  <si>
    <t>Kosambi</t>
  </si>
  <si>
    <t>ID3603210</t>
  </si>
  <si>
    <t>Ciledug</t>
  </si>
  <si>
    <t>ID3671010</t>
  </si>
  <si>
    <t>Larangan</t>
  </si>
  <si>
    <t>ID3671011</t>
  </si>
  <si>
    <t>Karang Tengah</t>
  </si>
  <si>
    <t>ID3671012</t>
  </si>
  <si>
    <t>Cipondoh</t>
  </si>
  <si>
    <t>ID3671020</t>
  </si>
  <si>
    <t>Pinang</t>
  </si>
  <si>
    <t>ID3671021</t>
  </si>
  <si>
    <t>Tangerang</t>
  </si>
  <si>
    <t>ID3671030</t>
  </si>
  <si>
    <t>Karawaci</t>
  </si>
  <si>
    <t>ID3671031</t>
  </si>
  <si>
    <t>Jati Uwung</t>
  </si>
  <si>
    <t>ID3671040</t>
  </si>
  <si>
    <t>Cibodas</t>
  </si>
  <si>
    <t>ID3671041</t>
  </si>
  <si>
    <t>Periuk</t>
  </si>
  <si>
    <t>ID3671042</t>
  </si>
  <si>
    <t>Batuceper</t>
  </si>
  <si>
    <t>ID3671050</t>
  </si>
  <si>
    <t>Neglasari</t>
  </si>
  <si>
    <t>ID3671051</t>
  </si>
  <si>
    <t>Benda</t>
  </si>
  <si>
    <t>ID3671060</t>
  </si>
  <si>
    <t>ID3674010</t>
  </si>
  <si>
    <t>Serpong</t>
  </si>
  <si>
    <t>ID3674020</t>
  </si>
  <si>
    <t>Pamulang</t>
  </si>
  <si>
    <t>ID3674030</t>
  </si>
  <si>
    <t>Ciputat</t>
  </si>
  <si>
    <t>ID3674040</t>
  </si>
  <si>
    <t>Ciputat Timur</t>
  </si>
  <si>
    <t>ID3674050</t>
  </si>
  <si>
    <t>Pondok Aren</t>
  </si>
  <si>
    <t>ID3674060</t>
  </si>
  <si>
    <t>Serpong Utara</t>
  </si>
  <si>
    <t>ID3674070</t>
  </si>
  <si>
    <t>ADM3_EN</t>
  </si>
  <si>
    <t>ADM3_PCODE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</si>
  <si>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</si>
  <si>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</si>
  <si>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</si>
  <si>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</si>
  <si>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</si>
  <si>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</si>
  <si>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Bekasi</t>
  </si>
  <si>
    <t>Kota Bogor</t>
  </si>
  <si>
    <t>Kota Bekasi</t>
  </si>
  <si>
    <t>Kota Depok</t>
  </si>
  <si>
    <t>Kota Tangerang</t>
  </si>
  <si>
    <t>Kota Tangerang Selatan</t>
  </si>
  <si>
    <t>BU_rate_2015</t>
  </si>
  <si>
    <t>BU_rate_obs_2025</t>
  </si>
  <si>
    <t>BU_rate_sim_2025</t>
  </si>
  <si>
    <t>pop_dep_2015</t>
  </si>
  <si>
    <t>pop_dep_obs_2025</t>
  </si>
  <si>
    <t>pop_dep_sim_2025</t>
  </si>
  <si>
    <t>pop_low_2015</t>
  </si>
  <si>
    <t>pop_low_obs_2025</t>
  </si>
  <si>
    <t>pop_low_sim_2025</t>
  </si>
  <si>
    <t>pop_mid_2015</t>
  </si>
  <si>
    <t>pop_mid_obs_2025</t>
  </si>
  <si>
    <t>pop_mid_sim_2025</t>
  </si>
  <si>
    <t>pop_hig_2015</t>
  </si>
  <si>
    <t>pop_hig_obs_2025</t>
  </si>
  <si>
    <t>pop_hig_sim_2025</t>
  </si>
  <si>
    <t>bu_agree_2025</t>
  </si>
  <si>
    <t>pop_agree_2025</t>
  </si>
  <si>
    <t>037</t>
  </si>
  <si>
    <t>R023</t>
  </si>
  <si>
    <t>DT25 03 12 1800_N no RED or neighbour</t>
  </si>
  <si>
    <t>R024</t>
  </si>
  <si>
    <t>DT25 03 12 1805_N no RED</t>
  </si>
  <si>
    <t>R025</t>
  </si>
  <si>
    <t>R037</t>
  </si>
  <si>
    <t>DT25 03 13 1915_N only roads utility</t>
  </si>
  <si>
    <t>R026</t>
  </si>
  <si>
    <t>DT25 03 13 2024_N its alive</t>
  </si>
  <si>
    <t>R027</t>
  </si>
  <si>
    <t>DT25 03 17 1128_N std calib w RED on</t>
  </si>
  <si>
    <t>R028</t>
  </si>
  <si>
    <t>DT25 03 17 2031_N SSP1</t>
  </si>
  <si>
    <t>R029</t>
  </si>
  <si>
    <t>DT25 03 17 2032_N SSP2</t>
  </si>
  <si>
    <t>R030</t>
  </si>
  <si>
    <t>DT25 03 17 2055_N SSP3</t>
  </si>
  <si>
    <t>R031</t>
  </si>
  <si>
    <t>DT25 10 17 2218_N first run</t>
  </si>
  <si>
    <t>R032</t>
  </si>
  <si>
    <t>DT25 10 19 1616_N correcting slope and exclusion</t>
  </si>
  <si>
    <t>R033</t>
  </si>
  <si>
    <t>DT10 21 2230_N std first run</t>
  </si>
  <si>
    <t>R034</t>
  </si>
  <si>
    <t>DT25 10 21 2330 N SSP1 first run</t>
  </si>
  <si>
    <t>R035</t>
  </si>
  <si>
    <t>DT25 10 21 2350_N SSP2 first run</t>
  </si>
  <si>
    <t>R036</t>
  </si>
  <si>
    <t>DT25 10 21 2359 036_N SSP3 first run</t>
  </si>
  <si>
    <t>R038</t>
  </si>
  <si>
    <t>SSP3, including an export function for every tick, 5 ticks only</t>
  </si>
  <si>
    <t>std, including an export function for every tick, 5 ticks only</t>
  </si>
  <si>
    <t>std, including an export function for every tick, 25 ticks</t>
  </si>
  <si>
    <t>R039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</si>
  <si>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</si>
  <si>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</si>
  <si>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</si>
  <si>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</si>
  <si>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</si>
  <si>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</si>
  <si>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</si>
  <si>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</si>
  <si>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</si>
  <si>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</si>
  <si>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</si>
  <si>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SSP1, including an export function for every tick, 25 ticks</t>
  </si>
  <si>
    <t>R040</t>
  </si>
  <si>
    <t>SSP2, including an export function for every tick, 25 ticks</t>
  </si>
  <si>
    <t>SSP3, including an export function for every tick, 25 ticks</t>
  </si>
  <si>
    <t>Results limited to 11 ticks, need to adjust allocation function.</t>
  </si>
  <si>
    <t>std, new allocation function</t>
  </si>
  <si>
    <t>SSP1, new allocation function</t>
  </si>
  <si>
    <t>SSP2, new allocation function</t>
  </si>
  <si>
    <t>SSP3, new allocation function</t>
  </si>
  <si>
    <t>std, new urban inputs</t>
  </si>
  <si>
    <t>SSP1, new urban inputs</t>
  </si>
  <si>
    <t>SSP2, new urban inputs</t>
  </si>
  <si>
    <t>SSP3, new urban inputs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</si>
  <si>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</si>
  <si>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</si>
  <si>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</si>
  <si>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</si>
  <si>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</si>
  <si>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</si>
  <si>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</si>
  <si>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</si>
  <si>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</si>
  <si>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</si>
  <si>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</si>
  <si>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</si>
  <si>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</si>
  <si>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</si>
  <si>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SSP3, revised neighbourhood function</t>
  </si>
  <si>
    <t>incluides exposed layer exposure level (0=none, 1=low, 2=moderate, 3=high)</t>
  </si>
  <si>
    <t>new set-scenarios function, S1 BAU (framework paper parameters), Euclidian distance</t>
  </si>
  <si>
    <t>new set-scenarios function, S1 BAU (framework paper parameters), Cost distance allocation</t>
  </si>
  <si>
    <t>testing neighbourhood influence: LI only</t>
  </si>
  <si>
    <t>testing neighbourhood influence: LI and HI</t>
  </si>
  <si>
    <t>testing neighbourhood influence: all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</si>
  <si>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</si>
  <si>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</si>
  <si>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</si>
  <si>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</si>
  <si>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</si>
  <si>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</si>
  <si>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</si>
  <si>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</si>
  <si>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</si>
  <si>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</si>
  <si>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</si>
  <si>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</si>
  <si>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</si>
  <si>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</si>
  <si>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</si>
  <si>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</si>
  <si>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</si>
  <si>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</si>
  <si>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</si>
  <si>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</si>
  <si>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</si>
  <si>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</si>
  <si>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</si>
  <si>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</si>
  <si>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</si>
  <si>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</si>
  <si>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</si>
  <si>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</si>
  <si>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</si>
  <si>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</si>
  <si>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</si>
  <si>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</si>
  <si>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</si>
  <si>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</si>
  <si>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</si>
  <si>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sensitivity test neighbourhood weight 10, road 10</t>
  </si>
  <si>
    <t>sensitivity test neighbourhood weight 0, road 10</t>
  </si>
  <si>
    <t>sensitivity test utility function: equal weight 1</t>
  </si>
  <si>
    <t>sensitivity test utility function: suburban 10</t>
  </si>
  <si>
    <t>sensitivity test utility function: bu 10</t>
  </si>
  <si>
    <t>sensitivity test utility function:  malls 10</t>
  </si>
  <si>
    <t>sensitivity test utility function:  cbd 10</t>
  </si>
  <si>
    <t>sensitivity test utility function: markets 10</t>
  </si>
  <si>
    <t>sensitivity test utility function: roads 10</t>
  </si>
  <si>
    <t>sensitivity test utility function: density 10</t>
  </si>
  <si>
    <t>sensitivity test utility function: schools 10</t>
  </si>
  <si>
    <t>sensitivity test utility function: attractive 10</t>
  </si>
  <si>
    <t>sensitivity test utility function: health 10</t>
  </si>
  <si>
    <t>sensitivity test utility function: random 10</t>
  </si>
  <si>
    <t>sensitivity test utility function: water 10</t>
  </si>
  <si>
    <t>sensitivity test utility function: exposed 10</t>
  </si>
  <si>
    <t>sensitivity test utility function: schools 10, cost distance</t>
  </si>
  <si>
    <t>sensitivity test utility function: health 10, cost distance</t>
  </si>
  <si>
    <t>sensitivity test utility function: cbds 10, cost distance</t>
  </si>
  <si>
    <t>sensitivity test utility function: equal weight 1, cost distance schools, health,malls, markets, cbds</t>
  </si>
  <si>
    <t>old weights, cost distance, S1 BAU</t>
  </si>
  <si>
    <t>adjusted weights, cost distance, S1 BAU</t>
  </si>
  <si>
    <t>adjusted weights, cost distance, S2 Sustainability</t>
  </si>
  <si>
    <t>adjusted weights, cost distance, S3 Opportunism</t>
  </si>
  <si>
    <t>adjusted weights, cost distance, S4 Fragmentation</t>
  </si>
  <si>
    <t>adjusted weights, Euclidian distance, S1 BAU</t>
  </si>
  <si>
    <t>adjusted weights, Euclidian distance, S2 Sustainability</t>
  </si>
  <si>
    <t>adjusted weights, Euclidian distance, S3 Opportunism</t>
  </si>
  <si>
    <t>adjusted weights, Euclidian distance, S4 Fragmentation</t>
  </si>
  <si>
    <t>S1 BAU, removed S3 (old S4 Fragmentation takes its place)</t>
  </si>
  <si>
    <t>S2 Sustainability, removed S3 (old S4 Fragmentation takes its place)</t>
  </si>
  <si>
    <r>
      <rPr>
        <b/>
        <sz val="11"/>
        <color theme="1"/>
        <rFont val="Aptos Narrow"/>
        <family val="2"/>
        <scheme val="minor"/>
      </rPr>
      <t>S3 Fragmentation</t>
    </r>
    <r>
      <rPr>
        <sz val="11"/>
        <color theme="1"/>
        <rFont val="Aptos Narrow"/>
        <family val="2"/>
        <scheme val="minor"/>
      </rPr>
      <t>, removed S3 (old S4 Fragmentation takes its place)</t>
    </r>
  </si>
  <si>
    <t>S0 Calibration</t>
  </si>
  <si>
    <t>S1 BAU, recalculated population</t>
  </si>
  <si>
    <t>S2 Sustainability, recalculated population</t>
  </si>
  <si>
    <t>S3 Fragmentation, recalculated population</t>
  </si>
  <si>
    <t>098</t>
  </si>
  <si>
    <t>099</t>
  </si>
  <si>
    <t>S0 Calibration, 29.559 HH (from bu_late count)</t>
  </si>
  <si>
    <t>S0 Calibration, 25.503 HH (from population change)</t>
  </si>
  <si>
    <t>S0 calibration aiming at reproducing observed growth, HH 28866</t>
  </si>
  <si>
    <t>S1 random scenario weights (for all agents)</t>
  </si>
  <si>
    <t>S3 pure road growth - weight 10 for road layers</t>
  </si>
  <si>
    <t>S0 Calibration, 29.559 HH, new allocation function (patch-centred, faster)</t>
  </si>
  <si>
    <t>100</t>
  </si>
  <si>
    <t>S0 Calibration, 200 developer agents</t>
  </si>
  <si>
    <t>S2 pure edge growth - weight 10 for edge layers</t>
  </si>
  <si>
    <t>S0 Calibration, 29.559 HH</t>
  </si>
  <si>
    <t>S0 Calibration, 29.559 HH, new allocation function (corrected, agent-centred. slower)</t>
  </si>
  <si>
    <t>101</t>
  </si>
  <si>
    <t>102</t>
  </si>
  <si>
    <t>103</t>
  </si>
  <si>
    <t>104</t>
  </si>
  <si>
    <t>105</t>
  </si>
  <si>
    <t>106</t>
  </si>
  <si>
    <t>107</t>
  </si>
  <si>
    <t>108</t>
  </si>
  <si>
    <t>S0 Calibration, no RED</t>
  </si>
  <si>
    <t>S0 calibration, 10 RED, corrected allocation bug</t>
  </si>
  <si>
    <t>S0 calibration, 200 RED, corrected allocation bug</t>
  </si>
  <si>
    <t>S0 calibration, 200 RED, 28866 HH, discounting RED from households</t>
  </si>
  <si>
    <t>S0 calibration, troubleshooting RED residuals (n=62)</t>
  </si>
  <si>
    <t>S0 calibration, 200 RED, 28866 troubleshooting RED residuals (n=62)</t>
  </si>
  <si>
    <t>S0 calibration, troubleshooting RED residuals (n=158)</t>
  </si>
  <si>
    <t>S0 calibration, troubleshooting RED residuals (n=6), increased mi-red rad to 3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</si>
  <si>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</si>
  <si>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</si>
  <si>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</si>
  <si>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</si>
  <si>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</si>
  <si>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</si>
  <si>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</si>
  <si>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</si>
  <si>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</si>
  <si>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</si>
  <si>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</si>
  <si>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</si>
  <si>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S0 calibration, roads_proximity layer (not cost-distance accumulation), updated bu_early_dist</t>
  </si>
  <si>
    <t>S0 calibration, same as 109, random w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</si>
</sst>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 ;\-0.00\ "/>
    <numFmt numFmtId="165" formatCode="0.00000000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3" borderId="0" xfId="0" applyFont="1" applyFill="1"/>
    <xf numFmtId="164" fontId="9" fillId="0" borderId="0" xfId="1" applyNumberFormat="1" applyFont="1" applyFill="1"/>
    <xf numFmtId="0" fontId="3" fillId="4" borderId="0" xfId="0" applyFont="1" applyFill="1"/>
    <xf numFmtId="0" fontId="12" fillId="0" borderId="0" xfId="0" applyFont="1"/>
    <xf numFmtId="0" fontId="13" fillId="0" borderId="0" xfId="0" applyFont="1"/>
    <xf numFmtId="0" fontId="10" fillId="0" borderId="1" xfId="0" applyFont="1" applyBorder="1"/>
    <xf numFmtId="0" fontId="9" fillId="2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3" fillId="3" borderId="0" xfId="0" applyFont="1" applyFill="1"/>
    <xf numFmtId="165" fontId="19" fillId="0" borderId="0" xfId="0" applyNumberFormat="1" applyFont="1"/>
    <xf numFmtId="49" fontId="15" fillId="0" borderId="0" xfId="0" applyNumberFormat="1" applyFont="1"/>
    <xf numFmtId="0" fontId="0" fillId="4" borderId="0" xfId="0" applyFill="1"/>
    <xf numFmtId="0" fontId="0" fillId="4" borderId="3" xfId="0" applyFill="1" applyBorder="1"/>
    <xf numFmtId="0" fontId="20" fillId="0" borderId="2" xfId="0" applyFont="1" applyBorder="1" applyAlignment="1">
      <alignment horizontal="center" vertical="top" wrapText="1"/>
    </xf>
    <xf numFmtId="49" fontId="0" fillId="0" borderId="0" xfId="0" applyNumberFormat="1"/>
    <xf numFmtId="0" fontId="0" fillId="0" borderId="0" xfId="0" applyFont="1"/>
  </cellXfs>
  <cellStyles count="2">
    <cellStyle name="Comma" xfId="1" builtinId="3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0.3999755851924192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solid">
          <fgColor indexed="64"/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C98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9"/>
      <color rgb="FF00CC66"/>
      <color rgb="FF0C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9ABA3-35CF-4A23-8287-F169C415D1C4}" name="Table1" displayName="Table1" ref="A1:T1048576" totalsRowShown="0" headerRowDxfId="34" headerRowBorderDxfId="33" tableBorderDxfId="32">
  <autoFilter ref="A1:T1048576" xr:uid="{6F89ABA3-35CF-4A23-8287-F169C415D1C4}"/>
  <tableColumns count="20">
    <tableColumn id="1" xr3:uid="{AA97D79F-25D3-45F2-8373-7AA87711C90A}" name="ADM3_EN"/>
    <tableColumn id="2" xr3:uid="{C49BB2B5-0167-4675-BF8A-47650957AD90}" name="ADM3_PCODE"/>
    <tableColumn id="3" xr3:uid="{9F42A040-16A8-4078-A7A1-75E781DE99BB}" name="ADM2_BA"/>
    <tableColumn id="4" xr3:uid="{BC7467AA-20B0-4715-85CB-73692B86A0DB}" name="BU_rate_2015"/>
    <tableColumn id="5" xr3:uid="{DAC9B02E-C283-4A57-AC5A-59B9481452BC}" name="BU_rate_obs_2025"/>
    <tableColumn id="6" xr3:uid="{68B786C8-94E1-4340-99BE-71B2A5343EC2}" name="BU_rate_sim_2025"/>
    <tableColumn id="7" xr3:uid="{E2ABA7BA-CED3-40F3-9E38-ED8E0C7F9FEA}" name="pop_dep_2015"/>
    <tableColumn id="8" xr3:uid="{72FAE427-811D-4A4E-B3F1-61364AD345CF}" name="pop_dep_obs_2025"/>
    <tableColumn id="9" xr3:uid="{339EACF1-C102-4EDF-B6FF-C356295C4EC1}" name="pop_dep_sim_2025"/>
    <tableColumn id="10" xr3:uid="{6F7C2823-C1CC-4A48-B199-07B3DB3D0D0B}" name="pop_low_2015"/>
    <tableColumn id="11" xr3:uid="{99226CBC-23C5-448B-9553-629A7352EF60}" name="pop_low_obs_2025"/>
    <tableColumn id="12" xr3:uid="{B7DF68D2-1CEB-40E0-AB19-0A5BCAF0E00F}" name="pop_low_sim_2025"/>
    <tableColumn id="13" xr3:uid="{EE5C81C4-F600-4345-B808-EF8045947AB2}" name="pop_mid_2015"/>
    <tableColumn id="14" xr3:uid="{1C950242-39C1-4BBF-8737-4CE039F76CA6}" name="pop_mid_obs_2025"/>
    <tableColumn id="15" xr3:uid="{14813DAB-1B84-4AD1-8CB7-8473883E6833}" name="pop_mid_sim_2025"/>
    <tableColumn id="16" xr3:uid="{2A41DCA1-A467-4CE2-AB2B-4993D55A7F55}" name="pop_hig_2015"/>
    <tableColumn id="17" xr3:uid="{A9745CD6-011E-48EC-9599-23112E6F1AEB}" name="pop_hig_obs_2025"/>
    <tableColumn id="18" xr3:uid="{108DF6E7-1A68-4522-962C-0E0808740218}" name="pop_hig_sim_2025"/>
    <tableColumn id="19" xr3:uid="{7B6E05E3-2E05-4764-9AA5-480A554D998E}" name="bu_agree_2025"/>
    <tableColumn id="20" xr3:uid="{C07EAC75-CF72-4EB5-84F0-B00A6A09F63B}" name="pop_agree_20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00815-3346-42F6-93C9-DA8940436422}" name="Table3" displayName="Table3" ref="A2:M26" totalsRowShown="0" headerRowDxfId="31">
  <autoFilter ref="A2:M26" xr:uid="{16E00815-3346-42F6-93C9-DA8940436422}"/>
  <sortState xmlns:xlrd2="http://schemas.microsoft.com/office/spreadsheetml/2017/richdata2" ref="A3:M26">
    <sortCondition ref="A2:A26"/>
  </sortState>
  <tableColumns count="13">
    <tableColumn id="1" xr3:uid="{EE2BD472-C3F6-4EC8-91A1-A26A02B32B67}" name="Data" dataDxfId="30"/>
    <tableColumn id="2" xr3:uid="{80F04DF5-58DE-4F14-B00B-4FAC3F0CA08E}" name="acc_min" dataDxfId="29"/>
    <tableColumn id="3" xr3:uid="{EC255864-69E2-42C7-A4A3-56824286FFD3}" name="acc_mean" dataDxfId="28"/>
    <tableColumn id="4" xr3:uid="{D6176F7B-B315-4674-BECE-F52CF17E36EB}" name="acc_max" dataDxfId="27"/>
    <tableColumn id="5" xr3:uid="{D070942F-C710-43A5-9133-EC3E15B2BE59}" name="acc_type" dataDxfId="26"/>
    <tableColumn id="6" xr3:uid="{1E763677-FDE0-41E6-A92E-8517ED13D612}" name="mum_min" dataDxfId="25"/>
    <tableColumn id="7" xr3:uid="{01868C02-D1D3-48ED-8F1A-3D5B50BB0A44}" name="mum_mean" dataDxfId="24"/>
    <tableColumn id="8" xr3:uid="{02529222-AF3E-40A8-BE90-383F3C3E031D}" name="mum_max" dataDxfId="23"/>
    <tableColumn id="11" xr3:uid="{77CFE7A7-F348-4CAE-A1DF-133C08DB3211}" name="man_min" dataDxfId="22"/>
    <tableColumn id="12" xr3:uid="{8864FCB0-6AFD-4726-8A43-235C72B0BA65}" name="man_mean" dataDxfId="21"/>
    <tableColumn id="13" xr3:uid="{88BE6911-725B-4876-835F-6AC65B95822B}" name="man_max" dataDxfId="20"/>
    <tableColumn id="9" xr3:uid="{D7C9D3D5-5A1E-452A-A3D4-A00D2E34DBBA}" name="type" dataDxfId="19"/>
    <tableColumn id="10" xr3:uid="{2F0B0AF0-DCD3-4D90-8F27-283D0991E975}" name="obs 26.11.2024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7D7CD6-CB34-4DDA-AB95-8A9C66A2CA8D}" name="Table26" displayName="Table26" ref="A3:P77" totalsRowShown="0" headerRowDxfId="17" dataDxfId="16">
  <autoFilter ref="A3:P77" xr:uid="{E402AE75-6201-48F7-A21F-3497FD5EEB53}"/>
  <tableColumns count="16">
    <tableColumn id="1" xr3:uid="{1012AEA3-82DD-446C-82F8-88506081A8E5}" name="Model parameters" dataDxfId="15"/>
    <tableColumn id="2" xr3:uid="{491A3FE8-EC9D-4867-BDE8-3EE422296EA8}" name="ACC" dataDxfId="14"/>
    <tableColumn id="5" xr3:uid="{E117ECB5-6CE9-4B4A-8075-854B823B1B6F}" name="acc_type" dataDxfId="13"/>
    <tableColumn id="6" xr3:uid="{E3B6A109-8955-483C-979F-61597DEB862D}" name="MUM" dataDxfId="12"/>
    <tableColumn id="10" xr3:uid="{4E85D471-9334-4034-A8F3-5EFFC16B0B70}" name="MUM notes" dataDxfId="11"/>
    <tableColumn id="7" xr3:uid="{5134FCFD-7374-47A5-9C6D-7362C10A2A8C}" name="MAN_150" dataDxfId="10"/>
    <tableColumn id="4" xr3:uid="{8B583F7D-D293-4CF2-A5D3-8D2AF88F1341}" name="MAN_150_SLEUTH_standard" dataDxfId="9"/>
    <tableColumn id="14" xr3:uid="{22D5FAF0-71F1-4B3E-A50E-A1D0EAAAC1C2}" name="MAN_150_SLEUTH_SSP1" dataDxfId="8"/>
    <tableColumn id="15" xr3:uid="{F83FC8A4-6CBA-49C3-9C11-BD917B8AB457}" name="MAN_150_SLEUTH_SSP2" dataDxfId="7"/>
    <tableColumn id="16" xr3:uid="{F627070B-EE10-4C40-970F-1D51DB9BE949}" name="MAN_150_SLEUTH_SSP3" dataDxfId="6"/>
    <tableColumn id="12" xr3:uid="{EE73E65F-125C-4669-B746-D0D936327445}" name="MAN notes" dataDxfId="5"/>
    <tableColumn id="8" xr3:uid="{4F7995BE-5779-4DF4-BF6F-23CA1EEAD357}" name="JAK" dataDxfId="4"/>
    <tableColumn id="11" xr3:uid="{BCC827D8-F17F-47AD-91DE-AF33A9E8D65E}" name="JAK notes" dataDxfId="3"/>
    <tableColumn id="9" xr3:uid="{7A832769-C03E-4F14-84CC-94B77A86CD1F}" name="type" dataDxfId="2"/>
    <tableColumn id="3" xr3:uid="{E47DA66E-5DD3-49EF-AE54-1B32A3E745CA}" name="Definition" dataDxfId="1"/>
    <tableColumn id="13" xr3:uid="{08C56E32-39E6-4EDA-A16E-3B0C08520D7E}" name="obs 24.10.2024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CFB5-8996-48D5-8212-8CCBB669AA97}">
  <dimension ref="A1:I122"/>
  <sheetViews>
    <sheetView tabSelected="1" workbookViewId="0">
      <pane xSplit="1" ySplit="1" topLeftCell="B100" activePane="bottomRight" state="frozen"/>
      <selection activeCell="J13" sqref="J13"/>
      <selection pane="topRight" activeCell="J13" sqref="J13"/>
      <selection pane="bottomLeft" activeCell="J13" sqref="J13"/>
      <selection pane="bottomRight" activeCell="E113" sqref="E113"/>
    </sheetView>
  </sheetViews>
  <sheetFormatPr defaultRowHeight="14.25" x14ac:dyDescent="0.45"/>
  <cols>
    <col min="1" max="1" width="9.796875" bestFit="1" customWidth="1"/>
    <col min="2" max="3" width="9.796875" style="30" customWidth="1"/>
    <col min="4" max="4" width="6.06640625" customWidth="1"/>
    <col min="5" max="5" width="75.59765625" bestFit="1" customWidth="1"/>
    <col min="6" max="6" width="12.59765625" hidden="1" customWidth="1"/>
    <col min="7" max="7" width="56.33203125" bestFit="1" customWidth="1"/>
  </cols>
  <sheetData>
    <row r="1" spans="1:7" x14ac:dyDescent="0.45">
      <c r="A1" t="s">
        <v>230</v>
      </c>
      <c r="B1" s="30" t="s">
        <v>129</v>
      </c>
      <c r="C1" s="30" t="s">
        <v>196</v>
      </c>
      <c r="D1" t="s">
        <v>231</v>
      </c>
      <c r="E1" t="s">
        <v>232</v>
      </c>
      <c r="F1" t="s">
        <v>243</v>
      </c>
      <c r="G1" t="s">
        <v>128</v>
      </c>
    </row>
    <row r="2" spans="1:7" x14ac:dyDescent="0.45">
      <c r="A2" t="str">
        <f>_xlfn.CONCAT(B2,"_",C2)</f>
        <v>000_MAN</v>
      </c>
      <c r="B2" s="30" t="s">
        <v>197</v>
      </c>
      <c r="C2" s="30" t="s">
        <v>229</v>
      </c>
      <c r="D2">
        <v>1</v>
      </c>
      <c r="E2" t="s">
        <v>130</v>
      </c>
      <c r="G2" t="s">
        <v>131</v>
      </c>
    </row>
    <row r="3" spans="1:7" x14ac:dyDescent="0.45">
      <c r="A3" t="str">
        <f t="shared" ref="A3:A66" si="0">_xlfn.CONCAT(B3,"_",C3)</f>
        <v>001_MAN</v>
      </c>
      <c r="B3" s="30" t="s">
        <v>198</v>
      </c>
      <c r="C3" s="30" t="s">
        <v>229</v>
      </c>
      <c r="D3">
        <v>1</v>
      </c>
      <c r="E3" t="s">
        <v>132</v>
      </c>
      <c r="F3" t="s">
        <v>244</v>
      </c>
      <c r="G3" t="s">
        <v>135</v>
      </c>
    </row>
    <row r="4" spans="1:7" x14ac:dyDescent="0.45">
      <c r="A4" t="str">
        <f t="shared" si="0"/>
        <v>002_MAN</v>
      </c>
      <c r="B4" s="30" t="s">
        <v>199</v>
      </c>
      <c r="C4" s="30" t="s">
        <v>229</v>
      </c>
      <c r="D4">
        <v>1</v>
      </c>
      <c r="E4" t="s">
        <v>132</v>
      </c>
      <c r="F4" t="s">
        <v>245</v>
      </c>
      <c r="G4" t="s">
        <v>136</v>
      </c>
    </row>
    <row r="5" spans="1:7" x14ac:dyDescent="0.45">
      <c r="A5" t="str">
        <f t="shared" si="0"/>
        <v>003_MAN</v>
      </c>
      <c r="B5" s="30" t="s">
        <v>200</v>
      </c>
      <c r="C5" s="30" t="s">
        <v>229</v>
      </c>
      <c r="D5">
        <v>1</v>
      </c>
      <c r="E5" t="s">
        <v>139</v>
      </c>
      <c r="F5" t="s">
        <v>246</v>
      </c>
    </row>
    <row r="6" spans="1:7" x14ac:dyDescent="0.45">
      <c r="A6" t="str">
        <f t="shared" si="0"/>
        <v>004_MAN</v>
      </c>
      <c r="B6" s="30" t="s">
        <v>201</v>
      </c>
      <c r="C6" s="30" t="s">
        <v>229</v>
      </c>
      <c r="E6" t="s">
        <v>140</v>
      </c>
      <c r="F6" t="s">
        <v>247</v>
      </c>
    </row>
    <row r="7" spans="1:7" x14ac:dyDescent="0.45">
      <c r="A7" t="str">
        <f t="shared" si="0"/>
        <v>005_MAN</v>
      </c>
      <c r="B7" s="30" t="s">
        <v>202</v>
      </c>
      <c r="C7" s="30" t="s">
        <v>229</v>
      </c>
      <c r="E7" t="s">
        <v>138</v>
      </c>
      <c r="F7" t="s">
        <v>248</v>
      </c>
    </row>
    <row r="8" spans="1:7" x14ac:dyDescent="0.45">
      <c r="A8" t="str">
        <f t="shared" si="0"/>
        <v>006_MAN</v>
      </c>
      <c r="B8" s="30" t="s">
        <v>203</v>
      </c>
      <c r="C8" s="30" t="s">
        <v>229</v>
      </c>
      <c r="E8" t="s">
        <v>166</v>
      </c>
      <c r="F8" t="s">
        <v>249</v>
      </c>
    </row>
    <row r="9" spans="1:7" x14ac:dyDescent="0.45">
      <c r="A9" t="str">
        <f t="shared" si="0"/>
        <v>007_MAN</v>
      </c>
      <c r="B9" s="30" t="s">
        <v>204</v>
      </c>
      <c r="C9" s="30" t="s">
        <v>229</v>
      </c>
      <c r="E9" t="s">
        <v>167</v>
      </c>
      <c r="F9" t="s">
        <v>250</v>
      </c>
    </row>
    <row r="10" spans="1:7" x14ac:dyDescent="0.45">
      <c r="A10" t="str">
        <f t="shared" si="0"/>
        <v>008_MAN</v>
      </c>
      <c r="B10" s="30" t="s">
        <v>205</v>
      </c>
      <c r="C10" s="30" t="s">
        <v>229</v>
      </c>
      <c r="E10" t="s">
        <v>168</v>
      </c>
      <c r="F10" t="s">
        <v>251</v>
      </c>
    </row>
    <row r="11" spans="1:7" x14ac:dyDescent="0.45">
      <c r="A11" t="str">
        <f t="shared" si="0"/>
        <v>009_MAN</v>
      </c>
      <c r="B11" s="30" t="s">
        <v>206</v>
      </c>
      <c r="C11" s="30" t="s">
        <v>229</v>
      </c>
      <c r="E11" t="s">
        <v>169</v>
      </c>
      <c r="F11" t="s">
        <v>252</v>
      </c>
    </row>
    <row r="12" spans="1:7" x14ac:dyDescent="0.45">
      <c r="A12" t="str">
        <f t="shared" si="0"/>
        <v>010_MAN</v>
      </c>
      <c r="B12" s="30" t="s">
        <v>207</v>
      </c>
      <c r="C12" s="30" t="s">
        <v>229</v>
      </c>
      <c r="E12" t="s">
        <v>170</v>
      </c>
      <c r="F12" t="s">
        <v>253</v>
      </c>
    </row>
    <row r="13" spans="1:7" x14ac:dyDescent="0.45">
      <c r="A13" t="str">
        <f t="shared" si="0"/>
        <v>011_MAN</v>
      </c>
      <c r="B13" s="30" t="s">
        <v>208</v>
      </c>
      <c r="C13" s="30" t="s">
        <v>229</v>
      </c>
      <c r="E13" t="s">
        <v>171</v>
      </c>
      <c r="F13" t="s">
        <v>254</v>
      </c>
    </row>
    <row r="14" spans="1:7" x14ac:dyDescent="0.45">
      <c r="A14" t="str">
        <f t="shared" si="0"/>
        <v>012_MAN</v>
      </c>
      <c r="B14" s="30" t="s">
        <v>209</v>
      </c>
      <c r="C14" s="30" t="s">
        <v>229</v>
      </c>
      <c r="E14" t="s">
        <v>172</v>
      </c>
      <c r="F14" t="s">
        <v>255</v>
      </c>
    </row>
    <row r="15" spans="1:7" x14ac:dyDescent="0.45">
      <c r="A15" t="str">
        <f t="shared" si="0"/>
        <v>013_MAN</v>
      </c>
      <c r="B15" s="30" t="s">
        <v>210</v>
      </c>
      <c r="C15" s="30" t="s">
        <v>229</v>
      </c>
      <c r="E15" t="s">
        <v>173</v>
      </c>
      <c r="F15" t="s">
        <v>256</v>
      </c>
    </row>
    <row r="16" spans="1:7" x14ac:dyDescent="0.45">
      <c r="A16" t="str">
        <f t="shared" si="0"/>
        <v>014_MAN</v>
      </c>
      <c r="B16" s="30" t="s">
        <v>211</v>
      </c>
      <c r="C16" s="30" t="s">
        <v>229</v>
      </c>
      <c r="E16" t="s">
        <v>181</v>
      </c>
      <c r="F16" t="s">
        <v>257</v>
      </c>
      <c r="G16" t="s">
        <v>174</v>
      </c>
    </row>
    <row r="17" spans="1:7" x14ac:dyDescent="0.45">
      <c r="A17" t="str">
        <f t="shared" si="0"/>
        <v>015_MAN</v>
      </c>
      <c r="B17" s="30" t="s">
        <v>212</v>
      </c>
      <c r="C17" s="30" t="s">
        <v>229</v>
      </c>
      <c r="E17" t="s">
        <v>175</v>
      </c>
      <c r="F17" t="s">
        <v>258</v>
      </c>
      <c r="G17" t="s">
        <v>176</v>
      </c>
    </row>
    <row r="18" spans="1:7" x14ac:dyDescent="0.45">
      <c r="A18" t="str">
        <f t="shared" si="0"/>
        <v>016_MAN</v>
      </c>
      <c r="B18" s="30" t="s">
        <v>213</v>
      </c>
      <c r="C18" s="30" t="s">
        <v>229</v>
      </c>
      <c r="E18" t="s">
        <v>177</v>
      </c>
      <c r="F18" t="s">
        <v>259</v>
      </c>
      <c r="G18" t="s">
        <v>178</v>
      </c>
    </row>
    <row r="19" spans="1:7" x14ac:dyDescent="0.45">
      <c r="A19" t="str">
        <f t="shared" si="0"/>
        <v>017_MAN</v>
      </c>
      <c r="B19" s="30" t="s">
        <v>214</v>
      </c>
      <c r="C19" s="30" t="s">
        <v>229</v>
      </c>
      <c r="E19" t="s">
        <v>179</v>
      </c>
      <c r="F19" t="s">
        <v>260</v>
      </c>
      <c r="G19" t="s">
        <v>180</v>
      </c>
    </row>
    <row r="20" spans="1:7" x14ac:dyDescent="0.45">
      <c r="A20" t="str">
        <f t="shared" si="0"/>
        <v>018_MAN</v>
      </c>
      <c r="B20" s="30" t="s">
        <v>215</v>
      </c>
      <c r="C20" s="30" t="s">
        <v>229</v>
      </c>
      <c r="E20" t="s">
        <v>182</v>
      </c>
      <c r="F20" t="s">
        <v>261</v>
      </c>
    </row>
    <row r="21" spans="1:7" x14ac:dyDescent="0.45">
      <c r="A21" t="str">
        <f t="shared" si="0"/>
        <v>019_MAN</v>
      </c>
      <c r="B21" s="30" t="s">
        <v>216</v>
      </c>
      <c r="C21" s="30" t="s">
        <v>229</v>
      </c>
      <c r="E21" t="s">
        <v>183</v>
      </c>
      <c r="F21" t="s">
        <v>262</v>
      </c>
      <c r="G21" t="s">
        <v>184</v>
      </c>
    </row>
    <row r="22" spans="1:7" x14ac:dyDescent="0.45">
      <c r="A22" t="str">
        <f t="shared" si="0"/>
        <v>020_MAN</v>
      </c>
      <c r="B22" s="30" t="s">
        <v>217</v>
      </c>
      <c r="C22" s="30" t="s">
        <v>229</v>
      </c>
      <c r="E22" t="s">
        <v>185</v>
      </c>
      <c r="F22" t="s">
        <v>263</v>
      </c>
    </row>
    <row r="23" spans="1:7" x14ac:dyDescent="0.45">
      <c r="A23" t="str">
        <f t="shared" si="0"/>
        <v>021_MAN</v>
      </c>
      <c r="B23" s="30" t="s">
        <v>218</v>
      </c>
      <c r="C23" s="30" t="s">
        <v>229</v>
      </c>
      <c r="E23" t="s">
        <v>186</v>
      </c>
      <c r="F23" t="s">
        <v>264</v>
      </c>
    </row>
    <row r="24" spans="1:7" x14ac:dyDescent="0.45">
      <c r="A24" t="str">
        <f t="shared" si="0"/>
        <v>022_MAN</v>
      </c>
      <c r="B24" s="30" t="s">
        <v>219</v>
      </c>
      <c r="C24" s="30" t="s">
        <v>229</v>
      </c>
      <c r="E24" t="s">
        <v>187</v>
      </c>
      <c r="F24" t="s">
        <v>265</v>
      </c>
    </row>
    <row r="25" spans="1:7" x14ac:dyDescent="0.45">
      <c r="A25" t="str">
        <f t="shared" si="0"/>
        <v>023_MAN</v>
      </c>
      <c r="B25" s="30" t="s">
        <v>220</v>
      </c>
      <c r="C25" s="30" t="s">
        <v>229</v>
      </c>
      <c r="E25" t="s">
        <v>189</v>
      </c>
      <c r="F25" t="s">
        <v>667</v>
      </c>
      <c r="G25" t="s">
        <v>668</v>
      </c>
    </row>
    <row r="26" spans="1:7" x14ac:dyDescent="0.45">
      <c r="A26" t="str">
        <f t="shared" si="0"/>
        <v>024_MAN</v>
      </c>
      <c r="B26" s="30" t="s">
        <v>221</v>
      </c>
      <c r="C26" s="30" t="s">
        <v>229</v>
      </c>
      <c r="E26" t="s">
        <v>190</v>
      </c>
      <c r="F26" t="s">
        <v>669</v>
      </c>
      <c r="G26" t="s">
        <v>670</v>
      </c>
    </row>
    <row r="27" spans="1:7" x14ac:dyDescent="0.45">
      <c r="A27" t="str">
        <f t="shared" si="0"/>
        <v>025_MAN</v>
      </c>
      <c r="B27" s="30" t="s">
        <v>222</v>
      </c>
      <c r="C27" s="30" t="s">
        <v>229</v>
      </c>
      <c r="E27" t="s">
        <v>188</v>
      </c>
      <c r="F27" t="s">
        <v>671</v>
      </c>
      <c r="G27" t="s">
        <v>673</v>
      </c>
    </row>
    <row r="28" spans="1:7" x14ac:dyDescent="0.45">
      <c r="A28" t="str">
        <f t="shared" si="0"/>
        <v>026_MAN</v>
      </c>
      <c r="B28" s="30" t="s">
        <v>223</v>
      </c>
      <c r="C28" s="30" t="s">
        <v>229</v>
      </c>
      <c r="E28" t="s">
        <v>191</v>
      </c>
      <c r="F28" t="s">
        <v>674</v>
      </c>
      <c r="G28" t="s">
        <v>675</v>
      </c>
    </row>
    <row r="29" spans="1:7" x14ac:dyDescent="0.45">
      <c r="A29" t="str">
        <f t="shared" si="0"/>
        <v>027_MAN</v>
      </c>
      <c r="B29" s="30" t="s">
        <v>224</v>
      </c>
      <c r="C29" s="30" t="s">
        <v>229</v>
      </c>
      <c r="E29" t="s">
        <v>192</v>
      </c>
      <c r="F29" t="s">
        <v>676</v>
      </c>
      <c r="G29" t="s">
        <v>677</v>
      </c>
    </row>
    <row r="30" spans="1:7" x14ac:dyDescent="0.45">
      <c r="A30" t="str">
        <f t="shared" si="0"/>
        <v>028_MAN</v>
      </c>
      <c r="B30" s="30" t="s">
        <v>225</v>
      </c>
      <c r="C30" s="30" t="s">
        <v>229</v>
      </c>
      <c r="D30">
        <v>11</v>
      </c>
      <c r="E30" t="s">
        <v>193</v>
      </c>
      <c r="F30" t="s">
        <v>678</v>
      </c>
      <c r="G30" t="s">
        <v>679</v>
      </c>
    </row>
    <row r="31" spans="1:7" x14ac:dyDescent="0.45">
      <c r="A31" t="str">
        <f t="shared" si="0"/>
        <v>029_MAN</v>
      </c>
      <c r="B31" s="30" t="s">
        <v>226</v>
      </c>
      <c r="C31" s="30" t="s">
        <v>229</v>
      </c>
      <c r="D31">
        <v>12</v>
      </c>
      <c r="E31" t="s">
        <v>194</v>
      </c>
      <c r="F31" t="s">
        <v>680</v>
      </c>
      <c r="G31" t="s">
        <v>681</v>
      </c>
    </row>
    <row r="32" spans="1:7" x14ac:dyDescent="0.45">
      <c r="A32" t="str">
        <f t="shared" si="0"/>
        <v>030_MAN</v>
      </c>
      <c r="B32" s="30" t="s">
        <v>227</v>
      </c>
      <c r="C32" s="30" t="s">
        <v>229</v>
      </c>
      <c r="D32">
        <v>13</v>
      </c>
      <c r="E32" t="s">
        <v>195</v>
      </c>
      <c r="F32" t="s">
        <v>682</v>
      </c>
      <c r="G32" t="s">
        <v>683</v>
      </c>
    </row>
    <row r="33" spans="1:7" x14ac:dyDescent="0.45">
      <c r="A33" t="str">
        <f t="shared" si="0"/>
        <v>031_JAK</v>
      </c>
      <c r="B33" s="30" t="s">
        <v>228</v>
      </c>
      <c r="C33" s="30" t="s">
        <v>73</v>
      </c>
      <c r="D33">
        <v>21</v>
      </c>
      <c r="E33" t="s">
        <v>238</v>
      </c>
      <c r="F33" t="s">
        <v>684</v>
      </c>
      <c r="G33" t="s">
        <v>685</v>
      </c>
    </row>
    <row r="34" spans="1:7" x14ac:dyDescent="0.45">
      <c r="A34" t="str">
        <f t="shared" si="0"/>
        <v>032_JAK</v>
      </c>
      <c r="B34" s="30" t="s">
        <v>233</v>
      </c>
      <c r="C34" s="30" t="s">
        <v>73</v>
      </c>
      <c r="D34">
        <v>22</v>
      </c>
      <c r="E34" t="s">
        <v>239</v>
      </c>
      <c r="F34" t="s">
        <v>686</v>
      </c>
      <c r="G34" t="s">
        <v>687</v>
      </c>
    </row>
    <row r="35" spans="1:7" x14ac:dyDescent="0.45">
      <c r="A35" t="str">
        <f t="shared" si="0"/>
        <v>033_JAK</v>
      </c>
      <c r="B35" s="30" t="s">
        <v>234</v>
      </c>
      <c r="C35" s="30" t="s">
        <v>73</v>
      </c>
      <c r="D35">
        <v>22</v>
      </c>
      <c r="E35" t="s">
        <v>240</v>
      </c>
      <c r="F35" t="s">
        <v>688</v>
      </c>
      <c r="G35" t="s">
        <v>689</v>
      </c>
    </row>
    <row r="36" spans="1:7" x14ac:dyDescent="0.45">
      <c r="A36" t="str">
        <f t="shared" si="0"/>
        <v>034_JAK</v>
      </c>
      <c r="B36" s="30" t="s">
        <v>235</v>
      </c>
      <c r="C36" s="30" t="s">
        <v>73</v>
      </c>
      <c r="D36">
        <v>23</v>
      </c>
      <c r="E36" t="s">
        <v>238</v>
      </c>
      <c r="F36" t="s">
        <v>690</v>
      </c>
      <c r="G36" t="s">
        <v>691</v>
      </c>
    </row>
    <row r="37" spans="1:7" x14ac:dyDescent="0.45">
      <c r="A37" t="str">
        <f t="shared" si="0"/>
        <v>035_JAK</v>
      </c>
      <c r="B37" s="30" t="s">
        <v>236</v>
      </c>
      <c r="C37" s="30" t="s">
        <v>73</v>
      </c>
      <c r="D37">
        <v>24</v>
      </c>
      <c r="E37" t="s">
        <v>241</v>
      </c>
      <c r="F37" t="s">
        <v>692</v>
      </c>
      <c r="G37" t="s">
        <v>693</v>
      </c>
    </row>
    <row r="38" spans="1:7" x14ac:dyDescent="0.45">
      <c r="A38" t="str">
        <f t="shared" si="0"/>
        <v>036_JAK</v>
      </c>
      <c r="B38" s="30" t="s">
        <v>237</v>
      </c>
      <c r="C38" s="30" t="s">
        <v>73</v>
      </c>
      <c r="D38">
        <v>25</v>
      </c>
      <c r="E38" t="s">
        <v>242</v>
      </c>
      <c r="F38" t="s">
        <v>694</v>
      </c>
      <c r="G38" t="s">
        <v>695</v>
      </c>
    </row>
    <row r="39" spans="1:7" x14ac:dyDescent="0.45">
      <c r="A39" t="str">
        <f t="shared" si="0"/>
        <v>037_JAK</v>
      </c>
      <c r="B39" s="30" t="s">
        <v>666</v>
      </c>
      <c r="C39" s="30" t="s">
        <v>73</v>
      </c>
      <c r="D39">
        <v>26</v>
      </c>
      <c r="E39" t="s">
        <v>697</v>
      </c>
      <c r="F39" t="s">
        <v>672</v>
      </c>
    </row>
    <row r="40" spans="1:7" x14ac:dyDescent="0.45">
      <c r="A40" t="str">
        <f t="shared" si="0"/>
        <v>038_JAK</v>
      </c>
      <c r="B40" s="30" t="s">
        <v>701</v>
      </c>
      <c r="C40" s="30" t="s">
        <v>73</v>
      </c>
      <c r="D40">
        <v>26</v>
      </c>
      <c r="E40" t="s">
        <v>698</v>
      </c>
      <c r="F40" t="s">
        <v>696</v>
      </c>
    </row>
    <row r="41" spans="1:7" x14ac:dyDescent="0.45">
      <c r="A41" t="str">
        <f t="shared" si="0"/>
        <v>039_JAK</v>
      </c>
      <c r="B41" s="30" t="s">
        <v>702</v>
      </c>
      <c r="C41" s="30" t="s">
        <v>73</v>
      </c>
      <c r="D41">
        <v>26</v>
      </c>
      <c r="E41" t="s">
        <v>699</v>
      </c>
      <c r="F41" t="s">
        <v>700</v>
      </c>
      <c r="G41" t="s">
        <v>716</v>
      </c>
    </row>
    <row r="42" spans="1:7" x14ac:dyDescent="0.45">
      <c r="A42" t="str">
        <f t="shared" si="0"/>
        <v>040_JAK</v>
      </c>
      <c r="B42" s="30" t="s">
        <v>703</v>
      </c>
      <c r="C42" s="30" t="s">
        <v>73</v>
      </c>
      <c r="D42">
        <v>26</v>
      </c>
      <c r="E42" t="s">
        <v>712</v>
      </c>
      <c r="F42" t="s">
        <v>713</v>
      </c>
    </row>
    <row r="43" spans="1:7" x14ac:dyDescent="0.45">
      <c r="A43" t="str">
        <f t="shared" si="0"/>
        <v>041_JAK</v>
      </c>
      <c r="B43" s="30" t="s">
        <v>704</v>
      </c>
      <c r="C43" s="30" t="s">
        <v>73</v>
      </c>
      <c r="D43">
        <v>26</v>
      </c>
      <c r="E43" t="s">
        <v>714</v>
      </c>
    </row>
    <row r="44" spans="1:7" x14ac:dyDescent="0.45">
      <c r="A44" t="str">
        <f t="shared" si="0"/>
        <v>042_JAK</v>
      </c>
      <c r="B44" s="30" t="s">
        <v>705</v>
      </c>
      <c r="C44" s="30" t="s">
        <v>73</v>
      </c>
      <c r="D44">
        <v>26</v>
      </c>
      <c r="E44" t="s">
        <v>715</v>
      </c>
    </row>
    <row r="45" spans="1:7" x14ac:dyDescent="0.45">
      <c r="A45" t="str">
        <f t="shared" si="0"/>
        <v>043_JAK</v>
      </c>
      <c r="B45" s="30" t="s">
        <v>706</v>
      </c>
      <c r="C45" s="30" t="s">
        <v>73</v>
      </c>
      <c r="D45">
        <v>27</v>
      </c>
      <c r="E45" t="s">
        <v>717</v>
      </c>
    </row>
    <row r="46" spans="1:7" x14ac:dyDescent="0.45">
      <c r="A46" t="str">
        <f t="shared" si="0"/>
        <v>044_JAK</v>
      </c>
      <c r="B46" s="30" t="s">
        <v>707</v>
      </c>
      <c r="C46" s="30" t="s">
        <v>73</v>
      </c>
      <c r="D46">
        <v>27</v>
      </c>
      <c r="E46" t="s">
        <v>718</v>
      </c>
    </row>
    <row r="47" spans="1:7" x14ac:dyDescent="0.45">
      <c r="A47" t="str">
        <f t="shared" si="0"/>
        <v>045_JAK</v>
      </c>
      <c r="B47" s="30" t="s">
        <v>708</v>
      </c>
      <c r="C47" s="30" t="s">
        <v>73</v>
      </c>
      <c r="D47">
        <v>27</v>
      </c>
      <c r="E47" t="s">
        <v>719</v>
      </c>
    </row>
    <row r="48" spans="1:7" x14ac:dyDescent="0.45">
      <c r="A48" t="str">
        <f t="shared" si="0"/>
        <v>046_JAK</v>
      </c>
      <c r="B48" s="30" t="s">
        <v>709</v>
      </c>
      <c r="C48" s="30" t="s">
        <v>73</v>
      </c>
      <c r="D48">
        <v>27</v>
      </c>
      <c r="E48" t="s">
        <v>720</v>
      </c>
    </row>
    <row r="49" spans="1:5" x14ac:dyDescent="0.45">
      <c r="A49" t="str">
        <f t="shared" si="0"/>
        <v>047_JAK</v>
      </c>
      <c r="B49" s="30" t="s">
        <v>710</v>
      </c>
      <c r="C49" s="30" t="s">
        <v>73</v>
      </c>
      <c r="D49">
        <v>28</v>
      </c>
      <c r="E49" t="s">
        <v>721</v>
      </c>
    </row>
    <row r="50" spans="1:5" x14ac:dyDescent="0.45">
      <c r="A50" t="str">
        <f t="shared" si="0"/>
        <v>048_JAK</v>
      </c>
      <c r="B50" s="30" t="s">
        <v>711</v>
      </c>
      <c r="C50" s="30" t="s">
        <v>73</v>
      </c>
      <c r="D50">
        <v>28</v>
      </c>
      <c r="E50" t="s">
        <v>722</v>
      </c>
    </row>
    <row r="51" spans="1:5" x14ac:dyDescent="0.45">
      <c r="A51" t="str">
        <f t="shared" si="0"/>
        <v>049_JAK</v>
      </c>
      <c r="B51" s="30" t="s">
        <v>725</v>
      </c>
      <c r="C51" s="30" t="s">
        <v>73</v>
      </c>
      <c r="D51">
        <v>28</v>
      </c>
      <c r="E51" t="s">
        <v>723</v>
      </c>
    </row>
    <row r="52" spans="1:5" x14ac:dyDescent="0.45">
      <c r="A52" t="str">
        <f t="shared" si="0"/>
        <v>050_JAK</v>
      </c>
      <c r="B52" s="30" t="s">
        <v>726</v>
      </c>
      <c r="C52" s="30" t="s">
        <v>73</v>
      </c>
      <c r="D52">
        <v>28</v>
      </c>
      <c r="E52" t="s">
        <v>724</v>
      </c>
    </row>
    <row r="53" spans="1:5" x14ac:dyDescent="0.45">
      <c r="A53" t="str">
        <f t="shared" si="0"/>
        <v>051_JAK</v>
      </c>
      <c r="B53" s="30" t="s">
        <v>727</v>
      </c>
      <c r="C53" s="30" t="s">
        <v>73</v>
      </c>
      <c r="D53">
        <v>29</v>
      </c>
      <c r="E53" t="s">
        <v>739</v>
      </c>
    </row>
    <row r="54" spans="1:5" x14ac:dyDescent="0.45">
      <c r="A54" t="str">
        <f t="shared" si="0"/>
        <v>052_JAK</v>
      </c>
      <c r="B54" s="30" t="s">
        <v>728</v>
      </c>
      <c r="C54" s="30" t="s">
        <v>73</v>
      </c>
      <c r="D54">
        <v>30</v>
      </c>
      <c r="E54" t="s">
        <v>740</v>
      </c>
    </row>
    <row r="55" spans="1:5" x14ac:dyDescent="0.45">
      <c r="A55" t="str">
        <f t="shared" si="0"/>
        <v>053_JAK</v>
      </c>
      <c r="B55" s="30" t="s">
        <v>729</v>
      </c>
      <c r="C55" s="30" t="s">
        <v>73</v>
      </c>
      <c r="D55">
        <v>32</v>
      </c>
      <c r="E55" t="s">
        <v>741</v>
      </c>
    </row>
    <row r="56" spans="1:5" x14ac:dyDescent="0.45">
      <c r="A56" t="str">
        <f t="shared" si="0"/>
        <v>054_JAK</v>
      </c>
      <c r="B56" s="30" t="s">
        <v>730</v>
      </c>
      <c r="C56" s="30" t="s">
        <v>73</v>
      </c>
      <c r="D56">
        <v>32</v>
      </c>
      <c r="E56" t="s">
        <v>742</v>
      </c>
    </row>
    <row r="57" spans="1:5" x14ac:dyDescent="0.45">
      <c r="A57" t="str">
        <f t="shared" si="0"/>
        <v>055_JAK</v>
      </c>
      <c r="B57" s="30" t="s">
        <v>731</v>
      </c>
      <c r="C57" s="30" t="s">
        <v>73</v>
      </c>
      <c r="D57">
        <v>32</v>
      </c>
      <c r="E57" t="s">
        <v>743</v>
      </c>
    </row>
    <row r="58" spans="1:5" x14ac:dyDescent="0.45">
      <c r="A58" t="str">
        <f t="shared" si="0"/>
        <v>056_JAK</v>
      </c>
      <c r="B58" s="30" t="s">
        <v>732</v>
      </c>
      <c r="C58" s="30" t="s">
        <v>73</v>
      </c>
      <c r="D58">
        <v>32</v>
      </c>
      <c r="E58" t="s">
        <v>744</v>
      </c>
    </row>
    <row r="59" spans="1:5" x14ac:dyDescent="0.45">
      <c r="A59" t="str">
        <f t="shared" si="0"/>
        <v>057_JAK</v>
      </c>
      <c r="B59" s="30" t="s">
        <v>733</v>
      </c>
      <c r="C59" s="30" t="s">
        <v>73</v>
      </c>
      <c r="D59">
        <v>32</v>
      </c>
      <c r="E59" t="s">
        <v>745</v>
      </c>
    </row>
    <row r="60" spans="1:5" x14ac:dyDescent="0.45">
      <c r="A60" t="str">
        <f t="shared" si="0"/>
        <v>058_JAK</v>
      </c>
      <c r="B60" s="30" t="s">
        <v>734</v>
      </c>
      <c r="C60" s="30" t="s">
        <v>73</v>
      </c>
      <c r="D60">
        <v>32</v>
      </c>
      <c r="E60" t="s">
        <v>782</v>
      </c>
    </row>
    <row r="61" spans="1:5" x14ac:dyDescent="0.45">
      <c r="A61" t="str">
        <f t="shared" si="0"/>
        <v>059_JAK</v>
      </c>
      <c r="B61" s="30" t="s">
        <v>735</v>
      </c>
      <c r="C61" s="30" t="s">
        <v>73</v>
      </c>
      <c r="D61">
        <v>32</v>
      </c>
      <c r="E61" t="s">
        <v>781</v>
      </c>
    </row>
    <row r="62" spans="1:5" x14ac:dyDescent="0.45">
      <c r="A62" t="str">
        <f t="shared" si="0"/>
        <v>060_JAK</v>
      </c>
      <c r="B62" s="30" t="s">
        <v>736</v>
      </c>
      <c r="C62" s="30" t="s">
        <v>73</v>
      </c>
      <c r="D62">
        <v>32</v>
      </c>
      <c r="E62" t="s">
        <v>783</v>
      </c>
    </row>
    <row r="63" spans="1:5" x14ac:dyDescent="0.45">
      <c r="A63" t="str">
        <f t="shared" si="0"/>
        <v>061_JAK</v>
      </c>
      <c r="B63" s="30" t="s">
        <v>737</v>
      </c>
      <c r="C63" s="30" t="s">
        <v>73</v>
      </c>
      <c r="D63">
        <v>32</v>
      </c>
      <c r="E63" t="s">
        <v>784</v>
      </c>
    </row>
    <row r="64" spans="1:5" x14ac:dyDescent="0.45">
      <c r="A64" t="str">
        <f t="shared" si="0"/>
        <v>062_JAK</v>
      </c>
      <c r="B64" s="30" t="s">
        <v>738</v>
      </c>
      <c r="C64" s="30" t="s">
        <v>73</v>
      </c>
      <c r="D64">
        <v>32</v>
      </c>
      <c r="E64" t="s">
        <v>785</v>
      </c>
    </row>
    <row r="65" spans="1:5" x14ac:dyDescent="0.45">
      <c r="A65" t="str">
        <f t="shared" si="0"/>
        <v>063_JAK</v>
      </c>
      <c r="B65" s="30" t="s">
        <v>746</v>
      </c>
      <c r="C65" s="30" t="s">
        <v>73</v>
      </c>
      <c r="D65">
        <v>32</v>
      </c>
      <c r="E65" t="s">
        <v>787</v>
      </c>
    </row>
    <row r="66" spans="1:5" x14ac:dyDescent="0.45">
      <c r="A66" t="str">
        <f t="shared" si="0"/>
        <v>064_JAK</v>
      </c>
      <c r="B66" s="30" t="s">
        <v>747</v>
      </c>
      <c r="C66" s="30" t="s">
        <v>73</v>
      </c>
      <c r="D66">
        <v>32</v>
      </c>
      <c r="E66" t="s">
        <v>786</v>
      </c>
    </row>
    <row r="67" spans="1:5" x14ac:dyDescent="0.45">
      <c r="A67" t="str">
        <f t="shared" ref="A67:A99" si="1">_xlfn.CONCAT(B67,"_",C67)</f>
        <v>065_JAK</v>
      </c>
      <c r="B67" s="30" t="s">
        <v>748</v>
      </c>
      <c r="C67" s="30" t="s">
        <v>73</v>
      </c>
      <c r="D67">
        <v>32</v>
      </c>
      <c r="E67" t="s">
        <v>788</v>
      </c>
    </row>
    <row r="68" spans="1:5" x14ac:dyDescent="0.45">
      <c r="A68" t="str">
        <f t="shared" si="1"/>
        <v>066_JAK</v>
      </c>
      <c r="B68" s="30" t="s">
        <v>749</v>
      </c>
      <c r="C68" s="30" t="s">
        <v>73</v>
      </c>
      <c r="D68">
        <v>32</v>
      </c>
      <c r="E68" t="s">
        <v>789</v>
      </c>
    </row>
    <row r="69" spans="1:5" x14ac:dyDescent="0.45">
      <c r="A69" t="str">
        <f t="shared" si="1"/>
        <v>067_JAK</v>
      </c>
      <c r="B69" s="30" t="s">
        <v>750</v>
      </c>
      <c r="C69" s="30" t="s">
        <v>73</v>
      </c>
      <c r="D69">
        <v>32</v>
      </c>
      <c r="E69" t="s">
        <v>790</v>
      </c>
    </row>
    <row r="70" spans="1:5" x14ac:dyDescent="0.45">
      <c r="A70" t="str">
        <f t="shared" si="1"/>
        <v>068_JAK</v>
      </c>
      <c r="B70" s="30" t="s">
        <v>751</v>
      </c>
      <c r="C70" s="30" t="s">
        <v>73</v>
      </c>
      <c r="D70">
        <v>32</v>
      </c>
      <c r="E70" t="s">
        <v>791</v>
      </c>
    </row>
    <row r="71" spans="1:5" x14ac:dyDescent="0.45">
      <c r="A71" t="str">
        <f t="shared" si="1"/>
        <v>069_JAK</v>
      </c>
      <c r="B71" s="30" t="s">
        <v>752</v>
      </c>
      <c r="C71" s="30" t="s">
        <v>73</v>
      </c>
      <c r="D71">
        <v>32</v>
      </c>
      <c r="E71" t="s">
        <v>792</v>
      </c>
    </row>
    <row r="72" spans="1:5" x14ac:dyDescent="0.45">
      <c r="A72" t="str">
        <f t="shared" si="1"/>
        <v>070_JAK</v>
      </c>
      <c r="B72" s="30" t="s">
        <v>753</v>
      </c>
      <c r="C72" s="30" t="s">
        <v>73</v>
      </c>
      <c r="D72">
        <v>32</v>
      </c>
      <c r="E72" t="s">
        <v>793</v>
      </c>
    </row>
    <row r="73" spans="1:5" x14ac:dyDescent="0.45">
      <c r="A73" t="str">
        <f t="shared" si="1"/>
        <v>071_JAK</v>
      </c>
      <c r="B73" s="30" t="s">
        <v>754</v>
      </c>
      <c r="C73" s="30" t="s">
        <v>73</v>
      </c>
      <c r="D73">
        <v>32</v>
      </c>
      <c r="E73" t="s">
        <v>794</v>
      </c>
    </row>
    <row r="74" spans="1:5" x14ac:dyDescent="0.45">
      <c r="A74" t="str">
        <f t="shared" si="1"/>
        <v>072_JAK</v>
      </c>
      <c r="B74" s="30" t="s">
        <v>755</v>
      </c>
      <c r="C74" s="30" t="s">
        <v>73</v>
      </c>
      <c r="D74">
        <v>32</v>
      </c>
      <c r="E74" t="s">
        <v>795</v>
      </c>
    </row>
    <row r="75" spans="1:5" x14ac:dyDescent="0.45">
      <c r="A75" t="str">
        <f t="shared" si="1"/>
        <v>073_JAK</v>
      </c>
      <c r="B75" s="30" t="s">
        <v>756</v>
      </c>
      <c r="C75" s="30" t="s">
        <v>73</v>
      </c>
      <c r="D75">
        <v>32</v>
      </c>
      <c r="E75" t="s">
        <v>796</v>
      </c>
    </row>
    <row r="76" spans="1:5" x14ac:dyDescent="0.45">
      <c r="A76" t="str">
        <f t="shared" si="1"/>
        <v>074_JAK</v>
      </c>
      <c r="B76" s="30" t="s">
        <v>757</v>
      </c>
      <c r="C76" s="30" t="s">
        <v>73</v>
      </c>
      <c r="D76">
        <v>32</v>
      </c>
      <c r="E76" t="s">
        <v>797</v>
      </c>
    </row>
    <row r="77" spans="1:5" x14ac:dyDescent="0.45">
      <c r="A77" t="str">
        <f t="shared" si="1"/>
        <v>075_JAK</v>
      </c>
      <c r="B77" s="30" t="s">
        <v>758</v>
      </c>
      <c r="C77" s="30" t="s">
        <v>73</v>
      </c>
      <c r="D77">
        <v>32</v>
      </c>
      <c r="E77" t="s">
        <v>798</v>
      </c>
    </row>
    <row r="78" spans="1:5" x14ac:dyDescent="0.45">
      <c r="A78" t="str">
        <f t="shared" si="1"/>
        <v>076_JAK</v>
      </c>
      <c r="B78" s="30" t="s">
        <v>759</v>
      </c>
      <c r="C78" s="30" t="s">
        <v>73</v>
      </c>
      <c r="D78">
        <v>32</v>
      </c>
      <c r="E78" t="s">
        <v>799</v>
      </c>
    </row>
    <row r="79" spans="1:5" x14ac:dyDescent="0.45">
      <c r="A79" t="str">
        <f t="shared" si="1"/>
        <v>077_JAK</v>
      </c>
      <c r="B79" s="30" t="s">
        <v>760</v>
      </c>
      <c r="C79" s="30" t="s">
        <v>73</v>
      </c>
      <c r="D79">
        <v>32</v>
      </c>
      <c r="E79" t="s">
        <v>800</v>
      </c>
    </row>
    <row r="80" spans="1:5" x14ac:dyDescent="0.45">
      <c r="A80" t="str">
        <f t="shared" si="1"/>
        <v>078_JAK</v>
      </c>
      <c r="B80" s="30" t="s">
        <v>761</v>
      </c>
      <c r="C80" s="30" t="s">
        <v>73</v>
      </c>
      <c r="D80">
        <v>32</v>
      </c>
      <c r="E80" t="s">
        <v>801</v>
      </c>
    </row>
    <row r="81" spans="1:9" x14ac:dyDescent="0.45">
      <c r="A81" t="str">
        <f t="shared" si="1"/>
        <v>079_JAK</v>
      </c>
      <c r="B81" s="30" t="s">
        <v>762</v>
      </c>
      <c r="C81" s="30" t="s">
        <v>73</v>
      </c>
      <c r="D81">
        <v>34</v>
      </c>
      <c r="E81" t="s">
        <v>802</v>
      </c>
    </row>
    <row r="82" spans="1:9" x14ac:dyDescent="0.45">
      <c r="A82" t="str">
        <f t="shared" si="1"/>
        <v>080_JAK</v>
      </c>
      <c r="B82" s="30" t="s">
        <v>763</v>
      </c>
      <c r="C82" s="30" t="s">
        <v>73</v>
      </c>
      <c r="D82">
        <v>34</v>
      </c>
      <c r="E82" t="s">
        <v>803</v>
      </c>
    </row>
    <row r="83" spans="1:9" x14ac:dyDescent="0.45">
      <c r="A83" t="str">
        <f t="shared" si="1"/>
        <v>081_JAK</v>
      </c>
      <c r="B83" s="30" t="s">
        <v>764</v>
      </c>
      <c r="C83" s="30" t="s">
        <v>73</v>
      </c>
      <c r="D83">
        <v>34</v>
      </c>
      <c r="E83" t="s">
        <v>804</v>
      </c>
    </row>
    <row r="84" spans="1:9" x14ac:dyDescent="0.45">
      <c r="A84" t="str">
        <f t="shared" si="1"/>
        <v>082_JAK</v>
      </c>
      <c r="B84" s="30" t="s">
        <v>765</v>
      </c>
      <c r="C84" s="30" t="s">
        <v>73</v>
      </c>
      <c r="D84">
        <v>34</v>
      </c>
      <c r="E84" t="s">
        <v>805</v>
      </c>
    </row>
    <row r="85" spans="1:9" x14ac:dyDescent="0.45">
      <c r="A85" t="str">
        <f t="shared" si="1"/>
        <v>083_JAK</v>
      </c>
      <c r="B85" s="30" t="s">
        <v>766</v>
      </c>
      <c r="C85" s="30" t="s">
        <v>73</v>
      </c>
      <c r="D85">
        <v>34</v>
      </c>
      <c r="E85" t="s">
        <v>806</v>
      </c>
    </row>
    <row r="86" spans="1:9" x14ac:dyDescent="0.45">
      <c r="A86" t="str">
        <f t="shared" si="1"/>
        <v>084_JAK</v>
      </c>
      <c r="B86" s="30" t="s">
        <v>767</v>
      </c>
      <c r="C86" s="30" t="s">
        <v>73</v>
      </c>
      <c r="D86">
        <v>35</v>
      </c>
      <c r="E86" t="s">
        <v>807</v>
      </c>
    </row>
    <row r="87" spans="1:9" x14ac:dyDescent="0.45">
      <c r="A87" t="str">
        <f t="shared" si="1"/>
        <v>085_JAK</v>
      </c>
      <c r="B87" s="30" t="s">
        <v>768</v>
      </c>
      <c r="C87" s="30" t="s">
        <v>73</v>
      </c>
      <c r="D87">
        <v>35</v>
      </c>
      <c r="E87" t="s">
        <v>808</v>
      </c>
    </row>
    <row r="88" spans="1:9" x14ac:dyDescent="0.45">
      <c r="A88" t="str">
        <f t="shared" si="1"/>
        <v>086_JAK</v>
      </c>
      <c r="B88" s="30" t="s">
        <v>769</v>
      </c>
      <c r="C88" s="30" t="s">
        <v>73</v>
      </c>
      <c r="D88">
        <v>35</v>
      </c>
      <c r="E88" t="s">
        <v>809</v>
      </c>
    </row>
    <row r="89" spans="1:9" x14ac:dyDescent="0.45">
      <c r="A89" t="str">
        <f t="shared" si="1"/>
        <v>087_JAK</v>
      </c>
      <c r="B89" s="30" t="s">
        <v>770</v>
      </c>
      <c r="C89" s="30" t="s">
        <v>73</v>
      </c>
      <c r="D89">
        <v>36</v>
      </c>
      <c r="E89" t="s">
        <v>810</v>
      </c>
    </row>
    <row r="90" spans="1:9" x14ac:dyDescent="0.45">
      <c r="A90" t="str">
        <f t="shared" si="1"/>
        <v>088_JAK</v>
      </c>
      <c r="B90" s="30" t="s">
        <v>771</v>
      </c>
      <c r="C90" s="30" t="s">
        <v>73</v>
      </c>
      <c r="D90">
        <v>36</v>
      </c>
      <c r="E90" t="s">
        <v>811</v>
      </c>
    </row>
    <row r="91" spans="1:9" x14ac:dyDescent="0.45">
      <c r="A91" t="str">
        <f t="shared" si="1"/>
        <v>089_JAK</v>
      </c>
      <c r="B91" s="30" t="s">
        <v>772</v>
      </c>
      <c r="C91" s="30" t="s">
        <v>73</v>
      </c>
      <c r="D91">
        <v>36</v>
      </c>
      <c r="E91" t="s">
        <v>812</v>
      </c>
    </row>
    <row r="92" spans="1:9" x14ac:dyDescent="0.45">
      <c r="A92" t="str">
        <f t="shared" si="1"/>
        <v>090_JAK</v>
      </c>
      <c r="B92" s="30" t="s">
        <v>773</v>
      </c>
      <c r="C92" s="30" t="s">
        <v>73</v>
      </c>
      <c r="D92">
        <v>37</v>
      </c>
      <c r="E92" t="s">
        <v>813</v>
      </c>
    </row>
    <row r="93" spans="1:9" x14ac:dyDescent="0.45">
      <c r="A93" t="str">
        <f t="shared" si="1"/>
        <v>091_JAK</v>
      </c>
      <c r="B93" s="30" t="s">
        <v>774</v>
      </c>
      <c r="C93" s="30" t="s">
        <v>73</v>
      </c>
      <c r="D93">
        <v>37</v>
      </c>
      <c r="E93" t="s">
        <v>820</v>
      </c>
    </row>
    <row r="94" spans="1:9" x14ac:dyDescent="0.45">
      <c r="A94" t="str">
        <f t="shared" si="1"/>
        <v>092_JAK</v>
      </c>
      <c r="B94" s="30" t="s">
        <v>775</v>
      </c>
      <c r="C94" s="30" t="s">
        <v>73</v>
      </c>
      <c r="D94">
        <v>37</v>
      </c>
      <c r="E94" t="s">
        <v>819</v>
      </c>
      <c r="I94" t="s">
        <v>814</v>
      </c>
    </row>
    <row r="95" spans="1:9" x14ac:dyDescent="0.45">
      <c r="A95" t="str">
        <f t="shared" si="1"/>
        <v>093_JAK</v>
      </c>
      <c r="B95" s="30" t="s">
        <v>776</v>
      </c>
      <c r="C95" s="30" t="s">
        <v>73</v>
      </c>
      <c r="D95">
        <v>38</v>
      </c>
      <c r="E95" t="s">
        <v>829</v>
      </c>
      <c r="I95" t="s">
        <v>815</v>
      </c>
    </row>
    <row r="96" spans="1:9" x14ac:dyDescent="0.45">
      <c r="A96" t="str">
        <f t="shared" si="1"/>
        <v>094_JAK</v>
      </c>
      <c r="B96" s="30" t="s">
        <v>777</v>
      </c>
      <c r="C96" s="30" t="s">
        <v>73</v>
      </c>
      <c r="D96">
        <v>38</v>
      </c>
      <c r="E96" t="s">
        <v>821</v>
      </c>
      <c r="I96" s="31" t="s">
        <v>816</v>
      </c>
    </row>
    <row r="97" spans="1:5" x14ac:dyDescent="0.45">
      <c r="A97" t="str">
        <f t="shared" si="1"/>
        <v>095_JAK</v>
      </c>
      <c r="B97" s="30" t="s">
        <v>778</v>
      </c>
      <c r="C97" s="30" t="s">
        <v>73</v>
      </c>
      <c r="D97">
        <v>38</v>
      </c>
      <c r="E97" t="s">
        <v>822</v>
      </c>
    </row>
    <row r="98" spans="1:5" x14ac:dyDescent="0.45">
      <c r="A98" t="str">
        <f t="shared" si="1"/>
        <v>096_JAK</v>
      </c>
      <c r="B98" s="30" t="s">
        <v>779</v>
      </c>
      <c r="C98" s="30" t="s">
        <v>73</v>
      </c>
      <c r="D98">
        <v>38</v>
      </c>
      <c r="E98" t="s">
        <v>827</v>
      </c>
    </row>
    <row r="99" spans="1:5" x14ac:dyDescent="0.45">
      <c r="A99" t="str">
        <f t="shared" si="1"/>
        <v>097_JAK</v>
      </c>
      <c r="B99" s="30" t="s">
        <v>780</v>
      </c>
      <c r="C99" s="30" t="s">
        <v>73</v>
      </c>
      <c r="D99">
        <v>38</v>
      </c>
      <c r="E99" t="s">
        <v>823</v>
      </c>
    </row>
    <row r="100" spans="1:5" x14ac:dyDescent="0.45">
      <c r="A100" t="str">
        <f t="shared" ref="A100:A102" si="2">_xlfn.CONCAT(B100,"_",C100)</f>
        <v>098_JAK</v>
      </c>
      <c r="B100" s="30" t="s">
        <v>817</v>
      </c>
      <c r="C100" s="30" t="s">
        <v>73</v>
      </c>
      <c r="D100">
        <v>38</v>
      </c>
      <c r="E100" t="s">
        <v>828</v>
      </c>
    </row>
    <row r="101" spans="1:5" x14ac:dyDescent="0.45">
      <c r="A101" t="str">
        <f t="shared" si="2"/>
        <v>099_JAK</v>
      </c>
      <c r="B101" s="30" t="s">
        <v>818</v>
      </c>
      <c r="C101" s="30" t="s">
        <v>73</v>
      </c>
      <c r="D101">
        <v>39</v>
      </c>
      <c r="E101" t="s">
        <v>824</v>
      </c>
    </row>
    <row r="102" spans="1:5" x14ac:dyDescent="0.45">
      <c r="A102" t="str">
        <f t="shared" si="2"/>
        <v>100_JAK</v>
      </c>
      <c r="B102" s="30" t="s">
        <v>825</v>
      </c>
      <c r="C102" s="30" t="s">
        <v>73</v>
      </c>
      <c r="D102">
        <v>39</v>
      </c>
      <c r="E102" t="s">
        <v>826</v>
      </c>
    </row>
    <row r="103" spans="1:5" x14ac:dyDescent="0.45">
      <c r="A103" t="str">
        <f t="shared" ref="A103:A122" si="3">_xlfn.CONCAT(B103,"_",C103)</f>
        <v>101_JAK</v>
      </c>
      <c r="B103" s="30" t="s">
        <v>830</v>
      </c>
      <c r="C103" s="30" t="s">
        <v>73</v>
      </c>
      <c r="D103">
        <v>39</v>
      </c>
      <c r="E103" t="s">
        <v>838</v>
      </c>
    </row>
    <row r="104" spans="1:5" x14ac:dyDescent="0.45">
      <c r="A104" t="str">
        <f t="shared" si="3"/>
        <v>102_JAK</v>
      </c>
      <c r="B104" s="30" t="s">
        <v>831</v>
      </c>
      <c r="C104" s="30" t="s">
        <v>73</v>
      </c>
      <c r="D104">
        <v>39</v>
      </c>
      <c r="E104" t="s">
        <v>839</v>
      </c>
    </row>
    <row r="105" spans="1:5" x14ac:dyDescent="0.45">
      <c r="A105" t="str">
        <f t="shared" si="3"/>
        <v>103_JAK</v>
      </c>
      <c r="B105" s="30" t="s">
        <v>832</v>
      </c>
      <c r="C105" s="30" t="s">
        <v>73</v>
      </c>
      <c r="D105">
        <v>39</v>
      </c>
      <c r="E105" t="s">
        <v>840</v>
      </c>
    </row>
    <row r="106" spans="1:5" x14ac:dyDescent="0.45">
      <c r="A106" t="str">
        <f t="shared" si="3"/>
        <v>104_JAK</v>
      </c>
      <c r="B106" s="30" t="s">
        <v>833</v>
      </c>
      <c r="C106" s="30" t="s">
        <v>73</v>
      </c>
      <c r="D106">
        <v>39</v>
      </c>
      <c r="E106" t="s">
        <v>841</v>
      </c>
    </row>
    <row r="107" spans="1:5" x14ac:dyDescent="0.45">
      <c r="A107" t="str">
        <f t="shared" si="3"/>
        <v>105_JAK</v>
      </c>
      <c r="B107" s="30" t="s">
        <v>834</v>
      </c>
      <c r="C107" s="30" t="s">
        <v>73</v>
      </c>
      <c r="D107">
        <v>39</v>
      </c>
      <c r="E107" t="s">
        <v>843</v>
      </c>
    </row>
    <row r="108" spans="1:5" x14ac:dyDescent="0.45">
      <c r="A108" t="str">
        <f t="shared" si="3"/>
        <v>106_JAK</v>
      </c>
      <c r="B108" s="30" t="s">
        <v>835</v>
      </c>
      <c r="C108" s="30" t="s">
        <v>73</v>
      </c>
      <c r="D108">
        <v>40</v>
      </c>
      <c r="E108" t="s">
        <v>842</v>
      </c>
    </row>
    <row r="109" spans="1:5" x14ac:dyDescent="0.45">
      <c r="A109" t="str">
        <f t="shared" si="3"/>
        <v>107_JAK</v>
      </c>
      <c r="B109" s="30" t="s">
        <v>836</v>
      </c>
      <c r="C109" s="30" t="s">
        <v>73</v>
      </c>
      <c r="D109">
        <v>40</v>
      </c>
      <c r="E109" t="s">
        <v>844</v>
      </c>
    </row>
    <row r="110" spans="1:5" x14ac:dyDescent="0.45">
      <c r="A110" t="str">
        <f t="shared" si="3"/>
        <v>108_JAK</v>
      </c>
      <c r="B110" s="30" t="s">
        <v>837</v>
      </c>
      <c r="C110" s="30" t="s">
        <v>73</v>
      </c>
      <c r="D110">
        <v>40</v>
      </c>
      <c r="E110" t="s">
        <v>845</v>
      </c>
    </row>
    <row r="111" spans="1:5" x14ac:dyDescent="0.45">
      <c r="A111" t="str">
        <f t="shared" si="3"/>
        <v>109_JAK</v>
      </c>
      <c r="B111" s="30" t="s">
        <v>846</v>
      </c>
      <c r="C111" s="30" t="s">
        <v>73</v>
      </c>
      <c r="D111">
        <v>40</v>
      </c>
      <c r="E111" t="s">
        <v>858</v>
      </c>
    </row>
    <row r="112" spans="1:5" x14ac:dyDescent="0.45">
      <c r="A112" t="str">
        <f t="shared" si="3"/>
        <v>110_JAK</v>
      </c>
      <c r="B112" s="30" t="s">
        <v>847</v>
      </c>
      <c r="C112" s="30" t="s">
        <v>73</v>
      </c>
      <c r="D112">
        <v>40</v>
      </c>
      <c r="E112" t="s">
        <v>859</v>
      </c>
    </row>
    <row r="113" spans="1:4" x14ac:dyDescent="0.45">
      <c r="A113" t="str">
        <f t="shared" si="3"/>
        <v>111_JAK</v>
      </c>
      <c r="B113" s="30" t="s">
        <v>848</v>
      </c>
      <c r="C113" s="30" t="s">
        <v>73</v>
      </c>
      <c r="D113">
        <v>40</v>
      </c>
    </row>
    <row r="114" spans="1:4" x14ac:dyDescent="0.45">
      <c r="A114" t="str">
        <f t="shared" si="3"/>
        <v>112_JAK</v>
      </c>
      <c r="B114" s="30" t="s">
        <v>849</v>
      </c>
      <c r="C114" s="30" t="s">
        <v>73</v>
      </c>
      <c r="D114">
        <v>40</v>
      </c>
    </row>
    <row r="115" spans="1:4" x14ac:dyDescent="0.45">
      <c r="A115" t="str">
        <f t="shared" si="3"/>
        <v>113_JAK</v>
      </c>
      <c r="B115" s="30" t="s">
        <v>850</v>
      </c>
      <c r="C115" s="30" t="s">
        <v>73</v>
      </c>
      <c r="D115">
        <v>40</v>
      </c>
    </row>
    <row r="116" spans="1:4" x14ac:dyDescent="0.45">
      <c r="A116" t="str">
        <f t="shared" si="3"/>
        <v>114_JAK</v>
      </c>
      <c r="B116" s="30" t="s">
        <v>851</v>
      </c>
      <c r="C116" s="30" t="s">
        <v>73</v>
      </c>
      <c r="D116">
        <v>40</v>
      </c>
    </row>
    <row r="117" spans="1:4" x14ac:dyDescent="0.45">
      <c r="A117" t="str">
        <f t="shared" si="3"/>
        <v>115_JAK</v>
      </c>
      <c r="B117" s="30" t="s">
        <v>852</v>
      </c>
      <c r="C117" s="30" t="s">
        <v>73</v>
      </c>
      <c r="D117">
        <v>40</v>
      </c>
    </row>
    <row r="118" spans="1:4" x14ac:dyDescent="0.45">
      <c r="A118" t="str">
        <f t="shared" si="3"/>
        <v>116_JAK</v>
      </c>
      <c r="B118" s="30" t="s">
        <v>853</v>
      </c>
      <c r="C118" s="30" t="s">
        <v>73</v>
      </c>
      <c r="D118">
        <v>40</v>
      </c>
    </row>
    <row r="119" spans="1:4" x14ac:dyDescent="0.45">
      <c r="A119" t="str">
        <f t="shared" si="3"/>
        <v>117_JAK</v>
      </c>
      <c r="B119" s="30" t="s">
        <v>854</v>
      </c>
      <c r="C119" s="30" t="s">
        <v>73</v>
      </c>
      <c r="D119">
        <v>40</v>
      </c>
    </row>
    <row r="120" spans="1:4" x14ac:dyDescent="0.45">
      <c r="A120" t="str">
        <f t="shared" si="3"/>
        <v>118_JAK</v>
      </c>
      <c r="B120" s="30" t="s">
        <v>855</v>
      </c>
      <c r="C120" s="30" t="s">
        <v>73</v>
      </c>
      <c r="D120">
        <v>40</v>
      </c>
    </row>
    <row r="121" spans="1:4" x14ac:dyDescent="0.45">
      <c r="A121" t="str">
        <f t="shared" si="3"/>
        <v>119_JAK</v>
      </c>
      <c r="B121" s="30" t="s">
        <v>856</v>
      </c>
      <c r="C121" s="30" t="s">
        <v>73</v>
      </c>
      <c r="D121">
        <v>40</v>
      </c>
    </row>
    <row r="122" spans="1:4" x14ac:dyDescent="0.45">
      <c r="A122" t="str">
        <f t="shared" si="3"/>
        <v>120_JAK</v>
      </c>
      <c r="B122" s="30" t="s">
        <v>857</v>
      </c>
      <c r="C122" s="30" t="s">
        <v>73</v>
      </c>
      <c r="D122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CA51-4E0E-4FF6-B006-6CBC5AD7B1A4}">
  <dimension ref="A1:T186"/>
  <sheetViews>
    <sheetView workbookViewId="0"/>
  </sheetViews>
  <sheetFormatPr defaultRowHeight="14.25" x14ac:dyDescent="0.45"/>
  <cols>
    <col min="1" max="3" width="15.59765625" customWidth="1"/>
    <col min="4" max="4" width="14.59765625" customWidth="1"/>
    <col min="5" max="6" width="18.59765625" customWidth="1"/>
    <col min="7" max="7" width="15.265625" customWidth="1"/>
    <col min="8" max="8" width="19.265625" customWidth="1"/>
    <col min="9" max="9" width="19.06640625" customWidth="1"/>
    <col min="10" max="10" width="15.59765625" customWidth="1"/>
    <col min="11" max="11" width="19.06640625" customWidth="1"/>
    <col min="12" max="12" width="19" customWidth="1"/>
    <col min="13" max="13" width="15.59765625" customWidth="1"/>
    <col min="14" max="14" width="19.265625" customWidth="1"/>
    <col min="15" max="15" width="19.06640625" customWidth="1"/>
    <col min="16" max="16" width="15.59765625" customWidth="1"/>
    <col min="17" max="17" width="18.59765625" customWidth="1"/>
    <col min="18" max="18" width="18.33203125" customWidth="1"/>
    <col min="19" max="37" width="15.59765625" customWidth="1"/>
  </cols>
  <sheetData>
    <row r="1" spans="1:20" s="1" customFormat="1" x14ac:dyDescent="0.45">
      <c r="A1" s="29" t="s">
        <v>635</v>
      </c>
      <c r="B1" s="29" t="s">
        <v>636</v>
      </c>
      <c r="C1" s="29" t="s">
        <v>266</v>
      </c>
      <c r="D1" s="29" t="s">
        <v>649</v>
      </c>
      <c r="E1" s="29" t="s">
        <v>650</v>
      </c>
      <c r="F1" s="29" t="s">
        <v>651</v>
      </c>
      <c r="G1" s="29" t="s">
        <v>652</v>
      </c>
      <c r="H1" s="29" t="s">
        <v>653</v>
      </c>
      <c r="I1" s="29" t="s">
        <v>654</v>
      </c>
      <c r="J1" s="29" t="s">
        <v>655</v>
      </c>
      <c r="K1" s="29" t="s">
        <v>656</v>
      </c>
      <c r="L1" s="29" t="s">
        <v>657</v>
      </c>
      <c r="M1" s="29" t="s">
        <v>658</v>
      </c>
      <c r="N1" s="29" t="s">
        <v>659</v>
      </c>
      <c r="O1" s="29" t="s">
        <v>660</v>
      </c>
      <c r="P1" s="29" t="s">
        <v>661</v>
      </c>
      <c r="Q1" s="29" t="s">
        <v>662</v>
      </c>
      <c r="R1" s="29" t="s">
        <v>663</v>
      </c>
      <c r="S1" s="29" t="s">
        <v>664</v>
      </c>
      <c r="T1" s="29" t="s">
        <v>665</v>
      </c>
    </row>
    <row r="2" spans="1:20" x14ac:dyDescent="0.45">
      <c r="A2" s="27" t="s">
        <v>267</v>
      </c>
      <c r="B2" s="27" t="s">
        <v>268</v>
      </c>
      <c r="C2" s="27" t="s">
        <v>637</v>
      </c>
    </row>
    <row r="3" spans="1:20" x14ac:dyDescent="0.45">
      <c r="A3" t="s">
        <v>269</v>
      </c>
      <c r="B3" t="s">
        <v>270</v>
      </c>
      <c r="C3" t="s">
        <v>637</v>
      </c>
    </row>
    <row r="4" spans="1:20" x14ac:dyDescent="0.45">
      <c r="A4" s="27" t="s">
        <v>271</v>
      </c>
      <c r="B4" s="27" t="s">
        <v>272</v>
      </c>
      <c r="C4" s="27" t="s">
        <v>637</v>
      </c>
    </row>
    <row r="5" spans="1:20" x14ac:dyDescent="0.45">
      <c r="A5" t="s">
        <v>273</v>
      </c>
      <c r="B5" t="s">
        <v>274</v>
      </c>
      <c r="C5" t="s">
        <v>637</v>
      </c>
    </row>
    <row r="6" spans="1:20" x14ac:dyDescent="0.45">
      <c r="A6" s="27" t="s">
        <v>275</v>
      </c>
      <c r="B6" s="27" t="s">
        <v>276</v>
      </c>
      <c r="C6" s="27" t="s">
        <v>637</v>
      </c>
    </row>
    <row r="7" spans="1:20" x14ac:dyDescent="0.45">
      <c r="A7" t="s">
        <v>277</v>
      </c>
      <c r="B7" t="s">
        <v>278</v>
      </c>
      <c r="C7" t="s">
        <v>637</v>
      </c>
    </row>
    <row r="8" spans="1:20" x14ac:dyDescent="0.45">
      <c r="A8" s="27" t="s">
        <v>279</v>
      </c>
      <c r="B8" s="27" t="s">
        <v>280</v>
      </c>
      <c r="C8" s="27" t="s">
        <v>637</v>
      </c>
    </row>
    <row r="9" spans="1:20" x14ac:dyDescent="0.45">
      <c r="A9" t="s">
        <v>281</v>
      </c>
      <c r="B9" t="s">
        <v>282</v>
      </c>
      <c r="C9" t="s">
        <v>637</v>
      </c>
    </row>
    <row r="10" spans="1:20" x14ac:dyDescent="0.45">
      <c r="A10" s="27" t="s">
        <v>283</v>
      </c>
      <c r="B10" s="27" t="s">
        <v>284</v>
      </c>
      <c r="C10" s="27" t="s">
        <v>637</v>
      </c>
    </row>
    <row r="11" spans="1:20" x14ac:dyDescent="0.45">
      <c r="A11" t="s">
        <v>285</v>
      </c>
      <c r="B11" t="s">
        <v>286</v>
      </c>
      <c r="C11" t="s">
        <v>637</v>
      </c>
    </row>
    <row r="12" spans="1:20" x14ac:dyDescent="0.45">
      <c r="A12" s="27" t="s">
        <v>287</v>
      </c>
      <c r="B12" s="27" t="s">
        <v>288</v>
      </c>
      <c r="C12" s="27" t="s">
        <v>638</v>
      </c>
    </row>
    <row r="13" spans="1:20" x14ac:dyDescent="0.45">
      <c r="A13" t="s">
        <v>289</v>
      </c>
      <c r="B13" t="s">
        <v>290</v>
      </c>
      <c r="C13" t="s">
        <v>638</v>
      </c>
    </row>
    <row r="14" spans="1:20" x14ac:dyDescent="0.45">
      <c r="A14" s="27" t="s">
        <v>291</v>
      </c>
      <c r="B14" s="27" t="s">
        <v>292</v>
      </c>
      <c r="C14" s="27" t="s">
        <v>638</v>
      </c>
    </row>
    <row r="15" spans="1:20" x14ac:dyDescent="0.45">
      <c r="A15" t="s">
        <v>293</v>
      </c>
      <c r="B15" t="s">
        <v>294</v>
      </c>
      <c r="C15" t="s">
        <v>638</v>
      </c>
    </row>
    <row r="16" spans="1:20" x14ac:dyDescent="0.45">
      <c r="A16" s="27" t="s">
        <v>295</v>
      </c>
      <c r="B16" s="27" t="s">
        <v>296</v>
      </c>
      <c r="C16" s="27" t="s">
        <v>638</v>
      </c>
    </row>
    <row r="17" spans="1:3" x14ac:dyDescent="0.45">
      <c r="A17" t="s">
        <v>297</v>
      </c>
      <c r="B17" t="s">
        <v>298</v>
      </c>
      <c r="C17" t="s">
        <v>638</v>
      </c>
    </row>
    <row r="18" spans="1:3" x14ac:dyDescent="0.45">
      <c r="A18" s="27" t="s">
        <v>299</v>
      </c>
      <c r="B18" s="27" t="s">
        <v>300</v>
      </c>
      <c r="C18" s="27" t="s">
        <v>638</v>
      </c>
    </row>
    <row r="19" spans="1:3" x14ac:dyDescent="0.45">
      <c r="A19" t="s">
        <v>301</v>
      </c>
      <c r="B19" t="s">
        <v>302</v>
      </c>
      <c r="C19" t="s">
        <v>638</v>
      </c>
    </row>
    <row r="20" spans="1:3" x14ac:dyDescent="0.45">
      <c r="A20" s="27" t="s">
        <v>303</v>
      </c>
      <c r="B20" s="27" t="s">
        <v>304</v>
      </c>
      <c r="C20" s="27" t="s">
        <v>638</v>
      </c>
    </row>
    <row r="21" spans="1:3" x14ac:dyDescent="0.45">
      <c r="A21" t="s">
        <v>305</v>
      </c>
      <c r="B21" t="s">
        <v>306</v>
      </c>
      <c r="C21" t="s">
        <v>638</v>
      </c>
    </row>
    <row r="22" spans="1:3" x14ac:dyDescent="0.45">
      <c r="A22" s="27" t="s">
        <v>307</v>
      </c>
      <c r="B22" s="27" t="s">
        <v>308</v>
      </c>
      <c r="C22" s="27" t="s">
        <v>639</v>
      </c>
    </row>
    <row r="23" spans="1:3" x14ac:dyDescent="0.45">
      <c r="A23" t="s">
        <v>309</v>
      </c>
      <c r="B23" t="s">
        <v>310</v>
      </c>
      <c r="C23" t="s">
        <v>639</v>
      </c>
    </row>
    <row r="24" spans="1:3" x14ac:dyDescent="0.45">
      <c r="A24" s="27" t="s">
        <v>311</v>
      </c>
      <c r="B24" s="27" t="s">
        <v>312</v>
      </c>
      <c r="C24" s="27" t="s">
        <v>639</v>
      </c>
    </row>
    <row r="25" spans="1:3" x14ac:dyDescent="0.45">
      <c r="A25" t="s">
        <v>313</v>
      </c>
      <c r="B25" t="s">
        <v>314</v>
      </c>
      <c r="C25" t="s">
        <v>639</v>
      </c>
    </row>
    <row r="26" spans="1:3" x14ac:dyDescent="0.45">
      <c r="A26" s="27" t="s">
        <v>315</v>
      </c>
      <c r="B26" s="27" t="s">
        <v>316</v>
      </c>
      <c r="C26" s="27" t="s">
        <v>639</v>
      </c>
    </row>
    <row r="27" spans="1:3" x14ac:dyDescent="0.45">
      <c r="A27" t="s">
        <v>317</v>
      </c>
      <c r="B27" t="s">
        <v>318</v>
      </c>
      <c r="C27" t="s">
        <v>639</v>
      </c>
    </row>
    <row r="28" spans="1:3" x14ac:dyDescent="0.45">
      <c r="A28" s="27" t="s">
        <v>319</v>
      </c>
      <c r="B28" s="27" t="s">
        <v>320</v>
      </c>
      <c r="C28" s="27" t="s">
        <v>639</v>
      </c>
    </row>
    <row r="29" spans="1:3" x14ac:dyDescent="0.45">
      <c r="A29" t="s">
        <v>321</v>
      </c>
      <c r="B29" t="s">
        <v>322</v>
      </c>
      <c r="C29" t="s">
        <v>639</v>
      </c>
    </row>
    <row r="30" spans="1:3" x14ac:dyDescent="0.45">
      <c r="A30" s="27" t="s">
        <v>323</v>
      </c>
      <c r="B30" s="27" t="s">
        <v>324</v>
      </c>
      <c r="C30" s="27" t="s">
        <v>640</v>
      </c>
    </row>
    <row r="31" spans="1:3" x14ac:dyDescent="0.45">
      <c r="A31" t="s">
        <v>325</v>
      </c>
      <c r="B31" t="s">
        <v>326</v>
      </c>
      <c r="C31" t="s">
        <v>640</v>
      </c>
    </row>
    <row r="32" spans="1:3" x14ac:dyDescent="0.45">
      <c r="A32" s="27" t="s">
        <v>327</v>
      </c>
      <c r="B32" s="27" t="s">
        <v>328</v>
      </c>
      <c r="C32" s="27" t="s">
        <v>640</v>
      </c>
    </row>
    <row r="33" spans="1:3" x14ac:dyDescent="0.45">
      <c r="A33" t="s">
        <v>329</v>
      </c>
      <c r="B33" t="s">
        <v>330</v>
      </c>
      <c r="C33" t="s">
        <v>640</v>
      </c>
    </row>
    <row r="34" spans="1:3" x14ac:dyDescent="0.45">
      <c r="A34" s="27" t="s">
        <v>331</v>
      </c>
      <c r="B34" s="27" t="s">
        <v>332</v>
      </c>
      <c r="C34" s="27" t="s">
        <v>640</v>
      </c>
    </row>
    <row r="35" spans="1:3" x14ac:dyDescent="0.45">
      <c r="A35" t="s">
        <v>333</v>
      </c>
      <c r="B35" t="s">
        <v>334</v>
      </c>
      <c r="C35" t="s">
        <v>640</v>
      </c>
    </row>
    <row r="36" spans="1:3" x14ac:dyDescent="0.45">
      <c r="A36" s="27" t="s">
        <v>335</v>
      </c>
      <c r="B36" s="27" t="s">
        <v>336</v>
      </c>
      <c r="C36" s="27" t="s">
        <v>640</v>
      </c>
    </row>
    <row r="37" spans="1:3" x14ac:dyDescent="0.45">
      <c r="A37" t="s">
        <v>337</v>
      </c>
      <c r="B37" t="s">
        <v>338</v>
      </c>
      <c r="C37" t="s">
        <v>640</v>
      </c>
    </row>
    <row r="38" spans="1:3" x14ac:dyDescent="0.45">
      <c r="A38" s="27" t="s">
        <v>339</v>
      </c>
      <c r="B38" s="27" t="s">
        <v>340</v>
      </c>
      <c r="C38" s="27" t="s">
        <v>641</v>
      </c>
    </row>
    <row r="39" spans="1:3" x14ac:dyDescent="0.45">
      <c r="A39" t="s">
        <v>341</v>
      </c>
      <c r="B39" t="s">
        <v>342</v>
      </c>
      <c r="C39" t="s">
        <v>641</v>
      </c>
    </row>
    <row r="40" spans="1:3" x14ac:dyDescent="0.45">
      <c r="A40" s="27" t="s">
        <v>343</v>
      </c>
      <c r="B40" s="27" t="s">
        <v>344</v>
      </c>
      <c r="C40" s="27" t="s">
        <v>641</v>
      </c>
    </row>
    <row r="41" spans="1:3" x14ac:dyDescent="0.45">
      <c r="A41" t="s">
        <v>345</v>
      </c>
      <c r="B41" t="s">
        <v>346</v>
      </c>
      <c r="C41" t="s">
        <v>641</v>
      </c>
    </row>
    <row r="42" spans="1:3" x14ac:dyDescent="0.45">
      <c r="A42" s="27" t="s">
        <v>347</v>
      </c>
      <c r="B42" s="27" t="s">
        <v>348</v>
      </c>
      <c r="C42" s="27" t="s">
        <v>641</v>
      </c>
    </row>
    <row r="43" spans="1:3" x14ac:dyDescent="0.45">
      <c r="A43" t="s">
        <v>349</v>
      </c>
      <c r="B43" t="s">
        <v>350</v>
      </c>
      <c r="C43" t="s">
        <v>641</v>
      </c>
    </row>
    <row r="44" spans="1:3" x14ac:dyDescent="0.45">
      <c r="A44" s="27" t="s">
        <v>351</v>
      </c>
      <c r="B44" s="27" t="s">
        <v>352</v>
      </c>
      <c r="C44" s="27" t="s">
        <v>641</v>
      </c>
    </row>
    <row r="45" spans="1:3" x14ac:dyDescent="0.45">
      <c r="A45" t="s">
        <v>353</v>
      </c>
      <c r="B45" t="s">
        <v>354</v>
      </c>
      <c r="C45" t="s">
        <v>641</v>
      </c>
    </row>
    <row r="46" spans="1:3" x14ac:dyDescent="0.45">
      <c r="A46" s="27" t="s">
        <v>355</v>
      </c>
      <c r="B46" s="27" t="s">
        <v>356</v>
      </c>
      <c r="C46" s="27" t="s">
        <v>642</v>
      </c>
    </row>
    <row r="47" spans="1:3" x14ac:dyDescent="0.45">
      <c r="A47" t="s">
        <v>357</v>
      </c>
      <c r="B47" t="s">
        <v>358</v>
      </c>
      <c r="C47" t="s">
        <v>642</v>
      </c>
    </row>
    <row r="48" spans="1:3" x14ac:dyDescent="0.45">
      <c r="A48" s="27" t="s">
        <v>359</v>
      </c>
      <c r="B48" s="27" t="s">
        <v>360</v>
      </c>
      <c r="C48" s="27" t="s">
        <v>642</v>
      </c>
    </row>
    <row r="49" spans="1:3" x14ac:dyDescent="0.45">
      <c r="A49" t="s">
        <v>361</v>
      </c>
      <c r="B49" t="s">
        <v>362</v>
      </c>
      <c r="C49" t="s">
        <v>642</v>
      </c>
    </row>
    <row r="50" spans="1:3" x14ac:dyDescent="0.45">
      <c r="A50" s="27" t="s">
        <v>363</v>
      </c>
      <c r="B50" s="27" t="s">
        <v>364</v>
      </c>
      <c r="C50" s="27" t="s">
        <v>642</v>
      </c>
    </row>
    <row r="51" spans="1:3" x14ac:dyDescent="0.45">
      <c r="A51" t="s">
        <v>365</v>
      </c>
      <c r="B51" t="s">
        <v>366</v>
      </c>
      <c r="C51" t="s">
        <v>642</v>
      </c>
    </row>
    <row r="52" spans="1:3" x14ac:dyDescent="0.45">
      <c r="A52" s="27" t="s">
        <v>367</v>
      </c>
      <c r="B52" s="27" t="s">
        <v>368</v>
      </c>
      <c r="C52" s="27" t="s">
        <v>642</v>
      </c>
    </row>
    <row r="53" spans="1:3" x14ac:dyDescent="0.45">
      <c r="A53" t="s">
        <v>369</v>
      </c>
      <c r="B53" t="s">
        <v>370</v>
      </c>
      <c r="C53" t="s">
        <v>642</v>
      </c>
    </row>
    <row r="54" spans="1:3" x14ac:dyDescent="0.45">
      <c r="A54" s="27" t="s">
        <v>371</v>
      </c>
      <c r="B54" s="27" t="s">
        <v>372</v>
      </c>
      <c r="C54" s="27" t="s">
        <v>642</v>
      </c>
    </row>
    <row r="55" spans="1:3" x14ac:dyDescent="0.45">
      <c r="A55" t="s">
        <v>373</v>
      </c>
      <c r="B55" t="s">
        <v>374</v>
      </c>
      <c r="C55" t="s">
        <v>642</v>
      </c>
    </row>
    <row r="56" spans="1:3" x14ac:dyDescent="0.45">
      <c r="A56" s="27" t="s">
        <v>375</v>
      </c>
      <c r="B56" s="27" t="s">
        <v>376</v>
      </c>
      <c r="C56" s="27" t="s">
        <v>642</v>
      </c>
    </row>
    <row r="57" spans="1:3" x14ac:dyDescent="0.45">
      <c r="A57" t="s">
        <v>377</v>
      </c>
      <c r="B57" t="s">
        <v>378</v>
      </c>
      <c r="C57" t="s">
        <v>642</v>
      </c>
    </row>
    <row r="58" spans="1:3" x14ac:dyDescent="0.45">
      <c r="A58" s="27" t="s">
        <v>379</v>
      </c>
      <c r="B58" s="27" t="s">
        <v>380</v>
      </c>
      <c r="C58" s="27" t="s">
        <v>642</v>
      </c>
    </row>
    <row r="59" spans="1:3" x14ac:dyDescent="0.45">
      <c r="A59" t="s">
        <v>381</v>
      </c>
      <c r="B59" t="s">
        <v>382</v>
      </c>
      <c r="C59" t="s">
        <v>642</v>
      </c>
    </row>
    <row r="60" spans="1:3" x14ac:dyDescent="0.45">
      <c r="A60" s="27" t="s">
        <v>383</v>
      </c>
      <c r="B60" s="27" t="s">
        <v>384</v>
      </c>
      <c r="C60" s="27" t="s">
        <v>642</v>
      </c>
    </row>
    <row r="61" spans="1:3" x14ac:dyDescent="0.45">
      <c r="A61" t="s">
        <v>385</v>
      </c>
      <c r="B61" t="s">
        <v>386</v>
      </c>
      <c r="C61" t="s">
        <v>642</v>
      </c>
    </row>
    <row r="62" spans="1:3" x14ac:dyDescent="0.45">
      <c r="A62" s="27" t="s">
        <v>387</v>
      </c>
      <c r="B62" s="27" t="s">
        <v>388</v>
      </c>
      <c r="C62" s="27" t="s">
        <v>642</v>
      </c>
    </row>
    <row r="63" spans="1:3" x14ac:dyDescent="0.45">
      <c r="A63" t="s">
        <v>389</v>
      </c>
      <c r="B63" t="s">
        <v>390</v>
      </c>
      <c r="C63" t="s">
        <v>642</v>
      </c>
    </row>
    <row r="64" spans="1:3" x14ac:dyDescent="0.45">
      <c r="A64" s="27" t="s">
        <v>391</v>
      </c>
      <c r="B64" s="27" t="s">
        <v>392</v>
      </c>
      <c r="C64" s="27" t="s">
        <v>642</v>
      </c>
    </row>
    <row r="65" spans="1:3" x14ac:dyDescent="0.45">
      <c r="A65" t="s">
        <v>393</v>
      </c>
      <c r="B65" t="s">
        <v>394</v>
      </c>
      <c r="C65" t="s">
        <v>642</v>
      </c>
    </row>
    <row r="66" spans="1:3" x14ac:dyDescent="0.45">
      <c r="A66" s="27" t="s">
        <v>395</v>
      </c>
      <c r="B66" s="27" t="s">
        <v>396</v>
      </c>
      <c r="C66" s="27" t="s">
        <v>642</v>
      </c>
    </row>
    <row r="67" spans="1:3" x14ac:dyDescent="0.45">
      <c r="A67" t="s">
        <v>397</v>
      </c>
      <c r="B67" t="s">
        <v>398</v>
      </c>
      <c r="C67" t="s">
        <v>642</v>
      </c>
    </row>
    <row r="68" spans="1:3" x14ac:dyDescent="0.45">
      <c r="A68" s="27" t="s">
        <v>399</v>
      </c>
      <c r="B68" s="27" t="s">
        <v>400</v>
      </c>
      <c r="C68" s="27" t="s">
        <v>642</v>
      </c>
    </row>
    <row r="69" spans="1:3" x14ac:dyDescent="0.45">
      <c r="A69" t="s">
        <v>401</v>
      </c>
      <c r="B69" t="s">
        <v>402</v>
      </c>
      <c r="C69" t="s">
        <v>642</v>
      </c>
    </row>
    <row r="70" spans="1:3" x14ac:dyDescent="0.45">
      <c r="A70" s="27" t="s">
        <v>403</v>
      </c>
      <c r="B70" s="27" t="s">
        <v>404</v>
      </c>
      <c r="C70" s="27" t="s">
        <v>642</v>
      </c>
    </row>
    <row r="71" spans="1:3" x14ac:dyDescent="0.45">
      <c r="A71" t="s">
        <v>405</v>
      </c>
      <c r="B71" t="s">
        <v>406</v>
      </c>
      <c r="C71" t="s">
        <v>642</v>
      </c>
    </row>
    <row r="72" spans="1:3" x14ac:dyDescent="0.45">
      <c r="A72" s="27" t="s">
        <v>407</v>
      </c>
      <c r="B72" s="27" t="s">
        <v>408</v>
      </c>
      <c r="C72" s="27" t="s">
        <v>642</v>
      </c>
    </row>
    <row r="73" spans="1:3" x14ac:dyDescent="0.45">
      <c r="A73" t="s">
        <v>409</v>
      </c>
      <c r="B73" t="s">
        <v>410</v>
      </c>
      <c r="C73" t="s">
        <v>642</v>
      </c>
    </row>
    <row r="74" spans="1:3" x14ac:dyDescent="0.45">
      <c r="A74" s="27" t="s">
        <v>411</v>
      </c>
      <c r="B74" s="27" t="s">
        <v>412</v>
      </c>
      <c r="C74" s="27" t="s">
        <v>642</v>
      </c>
    </row>
    <row r="75" spans="1:3" x14ac:dyDescent="0.45">
      <c r="A75" t="s">
        <v>413</v>
      </c>
      <c r="B75" t="s">
        <v>414</v>
      </c>
      <c r="C75" t="s">
        <v>642</v>
      </c>
    </row>
    <row r="76" spans="1:3" x14ac:dyDescent="0.45">
      <c r="A76" s="27" t="s">
        <v>415</v>
      </c>
      <c r="B76" s="27" t="s">
        <v>416</v>
      </c>
      <c r="C76" s="27" t="s">
        <v>642</v>
      </c>
    </row>
    <row r="77" spans="1:3" x14ac:dyDescent="0.45">
      <c r="A77" t="s">
        <v>417</v>
      </c>
      <c r="B77" t="s">
        <v>418</v>
      </c>
      <c r="C77" t="s">
        <v>642</v>
      </c>
    </row>
    <row r="78" spans="1:3" x14ac:dyDescent="0.45">
      <c r="A78" s="27" t="s">
        <v>419</v>
      </c>
      <c r="B78" s="27" t="s">
        <v>420</v>
      </c>
      <c r="C78" s="27" t="s">
        <v>642</v>
      </c>
    </row>
    <row r="79" spans="1:3" x14ac:dyDescent="0.45">
      <c r="A79" t="s">
        <v>421</v>
      </c>
      <c r="B79" t="s">
        <v>422</v>
      </c>
      <c r="C79" t="s">
        <v>642</v>
      </c>
    </row>
    <row r="80" spans="1:3" x14ac:dyDescent="0.45">
      <c r="A80" s="27" t="s">
        <v>423</v>
      </c>
      <c r="B80" s="27" t="s">
        <v>424</v>
      </c>
      <c r="C80" s="27" t="s">
        <v>642</v>
      </c>
    </row>
    <row r="81" spans="1:3" x14ac:dyDescent="0.45">
      <c r="A81" t="s">
        <v>425</v>
      </c>
      <c r="B81" t="s">
        <v>426</v>
      </c>
      <c r="C81" t="s">
        <v>642</v>
      </c>
    </row>
    <row r="82" spans="1:3" x14ac:dyDescent="0.45">
      <c r="A82" s="27" t="s">
        <v>427</v>
      </c>
      <c r="B82" s="27" t="s">
        <v>428</v>
      </c>
      <c r="C82" s="27" t="s">
        <v>642</v>
      </c>
    </row>
    <row r="83" spans="1:3" x14ac:dyDescent="0.45">
      <c r="A83" t="s">
        <v>429</v>
      </c>
      <c r="B83" t="s">
        <v>430</v>
      </c>
      <c r="C83" t="s">
        <v>642</v>
      </c>
    </row>
    <row r="84" spans="1:3" x14ac:dyDescent="0.45">
      <c r="A84" s="27" t="s">
        <v>431</v>
      </c>
      <c r="B84" s="27" t="s">
        <v>432</v>
      </c>
      <c r="C84" s="27" t="s">
        <v>642</v>
      </c>
    </row>
    <row r="85" spans="1:3" x14ac:dyDescent="0.45">
      <c r="A85" t="s">
        <v>433</v>
      </c>
      <c r="B85" t="s">
        <v>434</v>
      </c>
      <c r="C85" t="s">
        <v>642</v>
      </c>
    </row>
    <row r="86" spans="1:3" x14ac:dyDescent="0.45">
      <c r="A86" s="27" t="s">
        <v>435</v>
      </c>
      <c r="B86" s="27" t="s">
        <v>436</v>
      </c>
      <c r="C86" s="27" t="s">
        <v>643</v>
      </c>
    </row>
    <row r="87" spans="1:3" x14ac:dyDescent="0.45">
      <c r="A87" t="s">
        <v>437</v>
      </c>
      <c r="B87" t="s">
        <v>438</v>
      </c>
      <c r="C87" t="s">
        <v>643</v>
      </c>
    </row>
    <row r="88" spans="1:3" x14ac:dyDescent="0.45">
      <c r="A88" s="27" t="s">
        <v>439</v>
      </c>
      <c r="B88" s="27" t="s">
        <v>440</v>
      </c>
      <c r="C88" s="27" t="s">
        <v>643</v>
      </c>
    </row>
    <row r="89" spans="1:3" x14ac:dyDescent="0.45">
      <c r="A89" t="s">
        <v>441</v>
      </c>
      <c r="B89" t="s">
        <v>442</v>
      </c>
      <c r="C89" t="s">
        <v>643</v>
      </c>
    </row>
    <row r="90" spans="1:3" x14ac:dyDescent="0.45">
      <c r="A90" s="27" t="s">
        <v>443</v>
      </c>
      <c r="B90" s="27" t="s">
        <v>444</v>
      </c>
      <c r="C90" s="27" t="s">
        <v>643</v>
      </c>
    </row>
    <row r="91" spans="1:3" x14ac:dyDescent="0.45">
      <c r="A91" t="s">
        <v>445</v>
      </c>
      <c r="B91" t="s">
        <v>446</v>
      </c>
      <c r="C91" t="s">
        <v>643</v>
      </c>
    </row>
    <row r="92" spans="1:3" x14ac:dyDescent="0.45">
      <c r="A92" s="27" t="s">
        <v>447</v>
      </c>
      <c r="B92" s="27" t="s">
        <v>448</v>
      </c>
      <c r="C92" s="27" t="s">
        <v>643</v>
      </c>
    </row>
    <row r="93" spans="1:3" x14ac:dyDescent="0.45">
      <c r="A93" t="s">
        <v>449</v>
      </c>
      <c r="B93" t="s">
        <v>450</v>
      </c>
      <c r="C93" t="s">
        <v>643</v>
      </c>
    </row>
    <row r="94" spans="1:3" x14ac:dyDescent="0.45">
      <c r="A94" s="27" t="s">
        <v>451</v>
      </c>
      <c r="B94" s="27" t="s">
        <v>452</v>
      </c>
      <c r="C94" s="27" t="s">
        <v>643</v>
      </c>
    </row>
    <row r="95" spans="1:3" x14ac:dyDescent="0.45">
      <c r="A95" t="s">
        <v>453</v>
      </c>
      <c r="B95" t="s">
        <v>454</v>
      </c>
      <c r="C95" t="s">
        <v>643</v>
      </c>
    </row>
    <row r="96" spans="1:3" x14ac:dyDescent="0.45">
      <c r="A96" s="27" t="s">
        <v>455</v>
      </c>
      <c r="B96" s="27" t="s">
        <v>456</v>
      </c>
      <c r="C96" s="27" t="s">
        <v>643</v>
      </c>
    </row>
    <row r="97" spans="1:3" x14ac:dyDescent="0.45">
      <c r="A97" t="s">
        <v>457</v>
      </c>
      <c r="B97" t="s">
        <v>458</v>
      </c>
      <c r="C97" t="s">
        <v>643</v>
      </c>
    </row>
    <row r="98" spans="1:3" x14ac:dyDescent="0.45">
      <c r="A98" s="27" t="s">
        <v>459</v>
      </c>
      <c r="B98" s="27" t="s">
        <v>460</v>
      </c>
      <c r="C98" s="27" t="s">
        <v>643</v>
      </c>
    </row>
    <row r="99" spans="1:3" x14ac:dyDescent="0.45">
      <c r="A99" t="s">
        <v>461</v>
      </c>
      <c r="B99" t="s">
        <v>462</v>
      </c>
      <c r="C99" t="s">
        <v>643</v>
      </c>
    </row>
    <row r="100" spans="1:3" x14ac:dyDescent="0.45">
      <c r="A100" s="27" t="s">
        <v>463</v>
      </c>
      <c r="B100" s="27" t="s">
        <v>464</v>
      </c>
      <c r="C100" s="27" t="s">
        <v>643</v>
      </c>
    </row>
    <row r="101" spans="1:3" x14ac:dyDescent="0.45">
      <c r="A101" t="s">
        <v>465</v>
      </c>
      <c r="B101" t="s">
        <v>466</v>
      </c>
      <c r="C101" t="s">
        <v>643</v>
      </c>
    </row>
    <row r="102" spans="1:3" x14ac:dyDescent="0.45">
      <c r="A102" s="27" t="s">
        <v>467</v>
      </c>
      <c r="B102" s="27" t="s">
        <v>468</v>
      </c>
      <c r="C102" s="27" t="s">
        <v>643</v>
      </c>
    </row>
    <row r="103" spans="1:3" x14ac:dyDescent="0.45">
      <c r="A103" t="s">
        <v>469</v>
      </c>
      <c r="B103" t="s">
        <v>470</v>
      </c>
      <c r="C103" t="s">
        <v>643</v>
      </c>
    </row>
    <row r="104" spans="1:3" x14ac:dyDescent="0.45">
      <c r="A104" s="27" t="s">
        <v>471</v>
      </c>
      <c r="B104" s="27" t="s">
        <v>472</v>
      </c>
      <c r="C104" s="27" t="s">
        <v>643</v>
      </c>
    </row>
    <row r="105" spans="1:3" x14ac:dyDescent="0.45">
      <c r="A105" t="s">
        <v>473</v>
      </c>
      <c r="B105" t="s">
        <v>474</v>
      </c>
      <c r="C105" t="s">
        <v>643</v>
      </c>
    </row>
    <row r="106" spans="1:3" x14ac:dyDescent="0.45">
      <c r="A106" s="27" t="s">
        <v>475</v>
      </c>
      <c r="B106" s="27" t="s">
        <v>476</v>
      </c>
      <c r="C106" s="27" t="s">
        <v>643</v>
      </c>
    </row>
    <row r="107" spans="1:3" x14ac:dyDescent="0.45">
      <c r="A107" t="s">
        <v>477</v>
      </c>
      <c r="B107" t="s">
        <v>478</v>
      </c>
      <c r="C107" t="s">
        <v>643</v>
      </c>
    </row>
    <row r="108" spans="1:3" x14ac:dyDescent="0.45">
      <c r="A108" s="27" t="s">
        <v>479</v>
      </c>
      <c r="B108" s="27" t="s">
        <v>480</v>
      </c>
      <c r="C108" s="27" t="s">
        <v>643</v>
      </c>
    </row>
    <row r="109" spans="1:3" x14ac:dyDescent="0.45">
      <c r="A109" t="s">
        <v>481</v>
      </c>
      <c r="B109" t="s">
        <v>482</v>
      </c>
      <c r="C109" t="s">
        <v>644</v>
      </c>
    </row>
    <row r="110" spans="1:3" x14ac:dyDescent="0.45">
      <c r="A110" s="27" t="s">
        <v>483</v>
      </c>
      <c r="B110" s="27" t="s">
        <v>484</v>
      </c>
      <c r="C110" s="27" t="s">
        <v>644</v>
      </c>
    </row>
    <row r="111" spans="1:3" x14ac:dyDescent="0.45">
      <c r="A111" t="s">
        <v>485</v>
      </c>
      <c r="B111" t="s">
        <v>486</v>
      </c>
      <c r="C111" t="s">
        <v>644</v>
      </c>
    </row>
    <row r="112" spans="1:3" x14ac:dyDescent="0.45">
      <c r="A112" s="27" t="s">
        <v>487</v>
      </c>
      <c r="B112" s="27" t="s">
        <v>488</v>
      </c>
      <c r="C112" s="27" t="s">
        <v>644</v>
      </c>
    </row>
    <row r="113" spans="1:3" x14ac:dyDescent="0.45">
      <c r="A113" t="s">
        <v>489</v>
      </c>
      <c r="B113" t="s">
        <v>490</v>
      </c>
      <c r="C113" t="s">
        <v>644</v>
      </c>
    </row>
    <row r="114" spans="1:3" x14ac:dyDescent="0.45">
      <c r="A114" s="27" t="s">
        <v>491</v>
      </c>
      <c r="B114" s="27" t="s">
        <v>492</v>
      </c>
      <c r="C114" s="27" t="s">
        <v>644</v>
      </c>
    </row>
    <row r="115" spans="1:3" x14ac:dyDescent="0.45">
      <c r="A115" t="s">
        <v>493</v>
      </c>
      <c r="B115" t="s">
        <v>494</v>
      </c>
      <c r="C115" t="s">
        <v>645</v>
      </c>
    </row>
    <row r="116" spans="1:3" x14ac:dyDescent="0.45">
      <c r="A116" s="27" t="s">
        <v>495</v>
      </c>
      <c r="B116" s="27" t="s">
        <v>496</v>
      </c>
      <c r="C116" s="27" t="s">
        <v>645</v>
      </c>
    </row>
    <row r="117" spans="1:3" x14ac:dyDescent="0.45">
      <c r="A117" t="s">
        <v>497</v>
      </c>
      <c r="B117" t="s">
        <v>498</v>
      </c>
      <c r="C117" t="s">
        <v>645</v>
      </c>
    </row>
    <row r="118" spans="1:3" x14ac:dyDescent="0.45">
      <c r="A118" s="27" t="s">
        <v>499</v>
      </c>
      <c r="B118" s="27" t="s">
        <v>500</v>
      </c>
      <c r="C118" s="27" t="s">
        <v>645</v>
      </c>
    </row>
    <row r="119" spans="1:3" x14ac:dyDescent="0.45">
      <c r="A119" t="s">
        <v>501</v>
      </c>
      <c r="B119" t="s">
        <v>502</v>
      </c>
      <c r="C119" t="s">
        <v>645</v>
      </c>
    </row>
    <row r="120" spans="1:3" x14ac:dyDescent="0.45">
      <c r="A120" s="27" t="s">
        <v>503</v>
      </c>
      <c r="B120" s="27" t="s">
        <v>504</v>
      </c>
      <c r="C120" s="27" t="s">
        <v>645</v>
      </c>
    </row>
    <row r="121" spans="1:3" x14ac:dyDescent="0.45">
      <c r="A121" t="s">
        <v>505</v>
      </c>
      <c r="B121" t="s">
        <v>506</v>
      </c>
      <c r="C121" t="s">
        <v>645</v>
      </c>
    </row>
    <row r="122" spans="1:3" x14ac:dyDescent="0.45">
      <c r="A122" s="27" t="s">
        <v>507</v>
      </c>
      <c r="B122" s="27" t="s">
        <v>508</v>
      </c>
      <c r="C122" s="27" t="s">
        <v>645</v>
      </c>
    </row>
    <row r="123" spans="1:3" x14ac:dyDescent="0.45">
      <c r="A123" t="s">
        <v>509</v>
      </c>
      <c r="B123" t="s">
        <v>510</v>
      </c>
      <c r="C123" t="s">
        <v>645</v>
      </c>
    </row>
    <row r="124" spans="1:3" x14ac:dyDescent="0.45">
      <c r="A124" s="27" t="s">
        <v>511</v>
      </c>
      <c r="B124" s="27" t="s">
        <v>512</v>
      </c>
      <c r="C124" s="27" t="s">
        <v>645</v>
      </c>
    </row>
    <row r="125" spans="1:3" x14ac:dyDescent="0.45">
      <c r="A125" t="s">
        <v>513</v>
      </c>
      <c r="B125" t="s">
        <v>514</v>
      </c>
      <c r="C125" t="s">
        <v>645</v>
      </c>
    </row>
    <row r="126" spans="1:3" x14ac:dyDescent="0.45">
      <c r="A126" s="27" t="s">
        <v>515</v>
      </c>
      <c r="B126" s="27" t="s">
        <v>516</v>
      </c>
      <c r="C126" s="27" t="s">
        <v>645</v>
      </c>
    </row>
    <row r="127" spans="1:3" x14ac:dyDescent="0.45">
      <c r="A127" t="s">
        <v>517</v>
      </c>
      <c r="B127" t="s">
        <v>518</v>
      </c>
      <c r="C127" t="s">
        <v>646</v>
      </c>
    </row>
    <row r="128" spans="1:3" x14ac:dyDescent="0.45">
      <c r="A128" s="27" t="s">
        <v>519</v>
      </c>
      <c r="B128" s="27" t="s">
        <v>520</v>
      </c>
      <c r="C128" s="27" t="s">
        <v>646</v>
      </c>
    </row>
    <row r="129" spans="1:3" x14ac:dyDescent="0.45">
      <c r="A129" t="s">
        <v>521</v>
      </c>
      <c r="B129" t="s">
        <v>522</v>
      </c>
      <c r="C129" t="s">
        <v>646</v>
      </c>
    </row>
    <row r="130" spans="1:3" x14ac:dyDescent="0.45">
      <c r="A130" s="27" t="s">
        <v>291</v>
      </c>
      <c r="B130" s="27" t="s">
        <v>523</v>
      </c>
      <c r="C130" s="27" t="s">
        <v>646</v>
      </c>
    </row>
    <row r="131" spans="1:3" x14ac:dyDescent="0.45">
      <c r="A131" t="s">
        <v>524</v>
      </c>
      <c r="B131" t="s">
        <v>525</v>
      </c>
      <c r="C131" t="s">
        <v>646</v>
      </c>
    </row>
    <row r="132" spans="1:3" x14ac:dyDescent="0.45">
      <c r="A132" s="27" t="s">
        <v>526</v>
      </c>
      <c r="B132" s="27" t="s">
        <v>527</v>
      </c>
      <c r="C132" s="27" t="s">
        <v>646</v>
      </c>
    </row>
    <row r="133" spans="1:3" x14ac:dyDescent="0.45">
      <c r="A133" t="s">
        <v>528</v>
      </c>
      <c r="B133" t="s">
        <v>529</v>
      </c>
      <c r="C133" t="s">
        <v>646</v>
      </c>
    </row>
    <row r="134" spans="1:3" x14ac:dyDescent="0.45">
      <c r="A134" s="27" t="s">
        <v>530</v>
      </c>
      <c r="B134" s="27" t="s">
        <v>531</v>
      </c>
      <c r="C134" s="27" t="s">
        <v>646</v>
      </c>
    </row>
    <row r="135" spans="1:3" x14ac:dyDescent="0.45">
      <c r="A135" t="s">
        <v>532</v>
      </c>
      <c r="B135" t="s">
        <v>533</v>
      </c>
      <c r="C135" t="s">
        <v>646</v>
      </c>
    </row>
    <row r="136" spans="1:3" x14ac:dyDescent="0.45">
      <c r="A136" s="27" t="s">
        <v>534</v>
      </c>
      <c r="B136" s="27" t="s">
        <v>535</v>
      </c>
      <c r="C136" s="27" t="s">
        <v>646</v>
      </c>
    </row>
    <row r="137" spans="1:3" x14ac:dyDescent="0.45">
      <c r="A137" t="s">
        <v>536</v>
      </c>
      <c r="B137" t="s">
        <v>537</v>
      </c>
      <c r="C137" t="s">
        <v>646</v>
      </c>
    </row>
    <row r="138" spans="1:3" x14ac:dyDescent="0.45">
      <c r="A138" s="27" t="s">
        <v>538</v>
      </c>
      <c r="B138" s="27" t="s">
        <v>539</v>
      </c>
      <c r="C138" s="27" t="s">
        <v>606</v>
      </c>
    </row>
    <row r="139" spans="1:3" x14ac:dyDescent="0.45">
      <c r="A139" t="s">
        <v>540</v>
      </c>
      <c r="B139" t="s">
        <v>541</v>
      </c>
      <c r="C139" t="s">
        <v>606</v>
      </c>
    </row>
    <row r="140" spans="1:3" x14ac:dyDescent="0.45">
      <c r="A140" s="27" t="s">
        <v>542</v>
      </c>
      <c r="B140" s="27" t="s">
        <v>543</v>
      </c>
      <c r="C140" s="27" t="s">
        <v>606</v>
      </c>
    </row>
    <row r="141" spans="1:3" x14ac:dyDescent="0.45">
      <c r="A141" t="s">
        <v>544</v>
      </c>
      <c r="B141" t="s">
        <v>545</v>
      </c>
      <c r="C141" t="s">
        <v>606</v>
      </c>
    </row>
    <row r="142" spans="1:3" x14ac:dyDescent="0.45">
      <c r="A142" s="27" t="s">
        <v>546</v>
      </c>
      <c r="B142" s="27" t="s">
        <v>547</v>
      </c>
      <c r="C142" s="27" t="s">
        <v>606</v>
      </c>
    </row>
    <row r="143" spans="1:3" x14ac:dyDescent="0.45">
      <c r="A143" t="s">
        <v>548</v>
      </c>
      <c r="B143" t="s">
        <v>549</v>
      </c>
      <c r="C143" t="s">
        <v>606</v>
      </c>
    </row>
    <row r="144" spans="1:3" x14ac:dyDescent="0.45">
      <c r="A144" s="27" t="s">
        <v>550</v>
      </c>
      <c r="B144" s="27" t="s">
        <v>551</v>
      </c>
      <c r="C144" s="27" t="s">
        <v>606</v>
      </c>
    </row>
    <row r="145" spans="1:3" x14ac:dyDescent="0.45">
      <c r="A145" t="s">
        <v>552</v>
      </c>
      <c r="B145" t="s">
        <v>553</v>
      </c>
      <c r="C145" t="s">
        <v>606</v>
      </c>
    </row>
    <row r="146" spans="1:3" x14ac:dyDescent="0.45">
      <c r="A146" s="27" t="s">
        <v>554</v>
      </c>
      <c r="B146" s="27" t="s">
        <v>555</v>
      </c>
      <c r="C146" s="27" t="s">
        <v>606</v>
      </c>
    </row>
    <row r="147" spans="1:3" x14ac:dyDescent="0.45">
      <c r="A147" t="s">
        <v>556</v>
      </c>
      <c r="B147" t="s">
        <v>557</v>
      </c>
      <c r="C147" t="s">
        <v>606</v>
      </c>
    </row>
    <row r="148" spans="1:3" x14ac:dyDescent="0.45">
      <c r="A148" s="27" t="s">
        <v>558</v>
      </c>
      <c r="B148" s="27" t="s">
        <v>559</v>
      </c>
      <c r="C148" s="27" t="s">
        <v>606</v>
      </c>
    </row>
    <row r="149" spans="1:3" x14ac:dyDescent="0.45">
      <c r="A149" t="s">
        <v>560</v>
      </c>
      <c r="B149" t="s">
        <v>561</v>
      </c>
      <c r="C149" t="s">
        <v>606</v>
      </c>
    </row>
    <row r="150" spans="1:3" x14ac:dyDescent="0.45">
      <c r="A150" s="27" t="s">
        <v>562</v>
      </c>
      <c r="B150" s="27" t="s">
        <v>563</v>
      </c>
      <c r="C150" s="27" t="s">
        <v>606</v>
      </c>
    </row>
    <row r="151" spans="1:3" x14ac:dyDescent="0.45">
      <c r="A151" t="s">
        <v>564</v>
      </c>
      <c r="B151" t="s">
        <v>565</v>
      </c>
      <c r="C151" t="s">
        <v>606</v>
      </c>
    </row>
    <row r="152" spans="1:3" x14ac:dyDescent="0.45">
      <c r="A152" s="27" t="s">
        <v>566</v>
      </c>
      <c r="B152" s="27" t="s">
        <v>567</v>
      </c>
      <c r="C152" s="27" t="s">
        <v>606</v>
      </c>
    </row>
    <row r="153" spans="1:3" x14ac:dyDescent="0.45">
      <c r="A153" t="s">
        <v>568</v>
      </c>
      <c r="B153" t="s">
        <v>569</v>
      </c>
      <c r="C153" t="s">
        <v>606</v>
      </c>
    </row>
    <row r="154" spans="1:3" x14ac:dyDescent="0.45">
      <c r="A154" s="27" t="s">
        <v>570</v>
      </c>
      <c r="B154" s="27" t="s">
        <v>571</v>
      </c>
      <c r="C154" s="27" t="s">
        <v>606</v>
      </c>
    </row>
    <row r="155" spans="1:3" x14ac:dyDescent="0.45">
      <c r="A155" t="s">
        <v>572</v>
      </c>
      <c r="B155" t="s">
        <v>573</v>
      </c>
      <c r="C155" t="s">
        <v>606</v>
      </c>
    </row>
    <row r="156" spans="1:3" x14ac:dyDescent="0.45">
      <c r="A156" s="27" t="s">
        <v>574</v>
      </c>
      <c r="B156" s="27" t="s">
        <v>575</v>
      </c>
      <c r="C156" s="27" t="s">
        <v>606</v>
      </c>
    </row>
    <row r="157" spans="1:3" x14ac:dyDescent="0.45">
      <c r="A157" t="s">
        <v>576</v>
      </c>
      <c r="B157" t="s">
        <v>577</v>
      </c>
      <c r="C157" t="s">
        <v>606</v>
      </c>
    </row>
    <row r="158" spans="1:3" x14ac:dyDescent="0.45">
      <c r="A158" s="27" t="s">
        <v>578</v>
      </c>
      <c r="B158" s="27" t="s">
        <v>579</v>
      </c>
      <c r="C158" s="27" t="s">
        <v>606</v>
      </c>
    </row>
    <row r="159" spans="1:3" x14ac:dyDescent="0.45">
      <c r="A159" t="s">
        <v>580</v>
      </c>
      <c r="B159" t="s">
        <v>581</v>
      </c>
      <c r="C159" t="s">
        <v>606</v>
      </c>
    </row>
    <row r="160" spans="1:3" x14ac:dyDescent="0.45">
      <c r="A160" s="27" t="s">
        <v>582</v>
      </c>
      <c r="B160" s="27" t="s">
        <v>583</v>
      </c>
      <c r="C160" s="27" t="s">
        <v>606</v>
      </c>
    </row>
    <row r="161" spans="1:3" x14ac:dyDescent="0.45">
      <c r="A161" t="s">
        <v>584</v>
      </c>
      <c r="B161" t="s">
        <v>585</v>
      </c>
      <c r="C161" t="s">
        <v>606</v>
      </c>
    </row>
    <row r="162" spans="1:3" x14ac:dyDescent="0.45">
      <c r="A162" s="27" t="s">
        <v>586</v>
      </c>
      <c r="B162" s="27" t="s">
        <v>587</v>
      </c>
      <c r="C162" s="27" t="s">
        <v>606</v>
      </c>
    </row>
    <row r="163" spans="1:3" x14ac:dyDescent="0.45">
      <c r="A163" t="s">
        <v>588</v>
      </c>
      <c r="B163" t="s">
        <v>589</v>
      </c>
      <c r="C163" t="s">
        <v>606</v>
      </c>
    </row>
    <row r="164" spans="1:3" x14ac:dyDescent="0.45">
      <c r="A164" s="27" t="s">
        <v>590</v>
      </c>
      <c r="B164" s="27" t="s">
        <v>591</v>
      </c>
      <c r="C164" s="27" t="s">
        <v>606</v>
      </c>
    </row>
    <row r="165" spans="1:3" x14ac:dyDescent="0.45">
      <c r="A165" t="s">
        <v>592</v>
      </c>
      <c r="B165" t="s">
        <v>593</v>
      </c>
      <c r="C165" t="s">
        <v>606</v>
      </c>
    </row>
    <row r="166" spans="1:3" x14ac:dyDescent="0.45">
      <c r="A166" s="27" t="s">
        <v>594</v>
      </c>
      <c r="B166" s="27" t="s">
        <v>595</v>
      </c>
      <c r="C166" s="27" t="s">
        <v>606</v>
      </c>
    </row>
    <row r="167" spans="1:3" x14ac:dyDescent="0.45">
      <c r="A167" t="s">
        <v>596</v>
      </c>
      <c r="B167" t="s">
        <v>597</v>
      </c>
      <c r="C167" t="s">
        <v>647</v>
      </c>
    </row>
    <row r="168" spans="1:3" x14ac:dyDescent="0.45">
      <c r="A168" s="27" t="s">
        <v>598</v>
      </c>
      <c r="B168" s="27" t="s">
        <v>599</v>
      </c>
      <c r="C168" s="27" t="s">
        <v>647</v>
      </c>
    </row>
    <row r="169" spans="1:3" x14ac:dyDescent="0.45">
      <c r="A169" t="s">
        <v>600</v>
      </c>
      <c r="B169" t="s">
        <v>601</v>
      </c>
      <c r="C169" t="s">
        <v>647</v>
      </c>
    </row>
    <row r="170" spans="1:3" x14ac:dyDescent="0.45">
      <c r="A170" s="27" t="s">
        <v>602</v>
      </c>
      <c r="B170" s="27" t="s">
        <v>603</v>
      </c>
      <c r="C170" s="27" t="s">
        <v>647</v>
      </c>
    </row>
    <row r="171" spans="1:3" x14ac:dyDescent="0.45">
      <c r="A171" t="s">
        <v>604</v>
      </c>
      <c r="B171" t="s">
        <v>605</v>
      </c>
      <c r="C171" t="s">
        <v>647</v>
      </c>
    </row>
    <row r="172" spans="1:3" x14ac:dyDescent="0.45">
      <c r="A172" s="27" t="s">
        <v>606</v>
      </c>
      <c r="B172" s="27" t="s">
        <v>607</v>
      </c>
      <c r="C172" s="27" t="s">
        <v>647</v>
      </c>
    </row>
    <row r="173" spans="1:3" x14ac:dyDescent="0.45">
      <c r="A173" t="s">
        <v>608</v>
      </c>
      <c r="B173" t="s">
        <v>609</v>
      </c>
      <c r="C173" t="s">
        <v>647</v>
      </c>
    </row>
    <row r="174" spans="1:3" x14ac:dyDescent="0.45">
      <c r="A174" s="27" t="s">
        <v>610</v>
      </c>
      <c r="B174" s="27" t="s">
        <v>611</v>
      </c>
      <c r="C174" s="27" t="s">
        <v>647</v>
      </c>
    </row>
    <row r="175" spans="1:3" x14ac:dyDescent="0.45">
      <c r="A175" t="s">
        <v>612</v>
      </c>
      <c r="B175" t="s">
        <v>613</v>
      </c>
      <c r="C175" t="s">
        <v>647</v>
      </c>
    </row>
    <row r="176" spans="1:3" x14ac:dyDescent="0.45">
      <c r="A176" s="27" t="s">
        <v>614</v>
      </c>
      <c r="B176" s="27" t="s">
        <v>615</v>
      </c>
      <c r="C176" s="27" t="s">
        <v>647</v>
      </c>
    </row>
    <row r="177" spans="1:3" x14ac:dyDescent="0.45">
      <c r="A177" t="s">
        <v>616</v>
      </c>
      <c r="B177" t="s">
        <v>617</v>
      </c>
      <c r="C177" t="s">
        <v>647</v>
      </c>
    </row>
    <row r="178" spans="1:3" x14ac:dyDescent="0.45">
      <c r="A178" s="27" t="s">
        <v>618</v>
      </c>
      <c r="B178" s="27" t="s">
        <v>619</v>
      </c>
      <c r="C178" s="27" t="s">
        <v>647</v>
      </c>
    </row>
    <row r="179" spans="1:3" x14ac:dyDescent="0.45">
      <c r="A179" t="s">
        <v>620</v>
      </c>
      <c r="B179" t="s">
        <v>621</v>
      </c>
      <c r="C179" t="s">
        <v>647</v>
      </c>
    </row>
    <row r="180" spans="1:3" x14ac:dyDescent="0.45">
      <c r="A180" s="27" t="s">
        <v>435</v>
      </c>
      <c r="B180" s="27" t="s">
        <v>622</v>
      </c>
      <c r="C180" s="27" t="s">
        <v>648</v>
      </c>
    </row>
    <row r="181" spans="1:3" x14ac:dyDescent="0.45">
      <c r="A181" t="s">
        <v>623</v>
      </c>
      <c r="B181" t="s">
        <v>624</v>
      </c>
      <c r="C181" t="s">
        <v>648</v>
      </c>
    </row>
    <row r="182" spans="1:3" x14ac:dyDescent="0.45">
      <c r="A182" s="27" t="s">
        <v>625</v>
      </c>
      <c r="B182" s="27" t="s">
        <v>626</v>
      </c>
      <c r="C182" s="27" t="s">
        <v>648</v>
      </c>
    </row>
    <row r="183" spans="1:3" x14ac:dyDescent="0.45">
      <c r="A183" t="s">
        <v>627</v>
      </c>
      <c r="B183" t="s">
        <v>628</v>
      </c>
      <c r="C183" t="s">
        <v>648</v>
      </c>
    </row>
    <row r="184" spans="1:3" x14ac:dyDescent="0.45">
      <c r="A184" s="27" t="s">
        <v>629</v>
      </c>
      <c r="B184" s="27" t="s">
        <v>630</v>
      </c>
      <c r="C184" s="27" t="s">
        <v>648</v>
      </c>
    </row>
    <row r="185" spans="1:3" x14ac:dyDescent="0.45">
      <c r="A185" t="s">
        <v>631</v>
      </c>
      <c r="B185" t="s">
        <v>632</v>
      </c>
      <c r="C185" t="s">
        <v>648</v>
      </c>
    </row>
    <row r="186" spans="1:3" x14ac:dyDescent="0.45">
      <c r="A186" s="28" t="s">
        <v>633</v>
      </c>
      <c r="B186" s="28" t="s">
        <v>634</v>
      </c>
      <c r="C186" s="28" t="s">
        <v>648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AA08-EF1B-4BBC-8F24-DAADD61D3E58}">
  <dimension ref="A1:M27"/>
  <sheetViews>
    <sheetView zoomScale="115" zoomScaleNormal="115" workbookViewId="0">
      <selection activeCell="I3" sqref="I3"/>
    </sheetView>
  </sheetViews>
  <sheetFormatPr defaultRowHeight="14.25" x14ac:dyDescent="0.45"/>
  <cols>
    <col min="1" max="1" width="30.265625" style="4" bestFit="1" customWidth="1"/>
    <col min="2" max="2" width="10.06640625" bestFit="1" customWidth="1"/>
    <col min="3" max="3" width="11.796875" bestFit="1" customWidth="1"/>
    <col min="4" max="4" width="9.796875" customWidth="1"/>
    <col min="5" max="5" width="19.06640625" bestFit="1" customWidth="1"/>
    <col min="6" max="6" width="13.33203125" bestFit="1" customWidth="1"/>
    <col min="7" max="7" width="12.33203125" customWidth="1"/>
    <col min="8" max="11" width="11.06640625" customWidth="1"/>
    <col min="12" max="12" width="19.06640625" bestFit="1" customWidth="1"/>
    <col min="13" max="13" width="15.59765625" style="3" bestFit="1" customWidth="1"/>
  </cols>
  <sheetData>
    <row r="1" spans="1:13" x14ac:dyDescent="0.45">
      <c r="B1" s="14" t="s">
        <v>3</v>
      </c>
      <c r="C1" s="4"/>
      <c r="D1" s="4"/>
      <c r="E1" s="4"/>
      <c r="F1" s="15" t="s">
        <v>1</v>
      </c>
      <c r="G1" s="4"/>
      <c r="H1" s="4"/>
      <c r="I1" s="4" t="s">
        <v>0</v>
      </c>
      <c r="J1" s="4"/>
      <c r="K1" s="4"/>
      <c r="L1" s="4"/>
    </row>
    <row r="2" spans="1:13" x14ac:dyDescent="0.45">
      <c r="A2" s="4" t="s">
        <v>4</v>
      </c>
      <c r="B2" s="6" t="s">
        <v>43</v>
      </c>
      <c r="C2" s="6" t="s">
        <v>44</v>
      </c>
      <c r="D2" s="6" t="s">
        <v>45</v>
      </c>
      <c r="E2" s="6" t="s">
        <v>46</v>
      </c>
      <c r="F2" s="8" t="s">
        <v>47</v>
      </c>
      <c r="G2" s="8" t="s">
        <v>48</v>
      </c>
      <c r="H2" s="8" t="s">
        <v>49</v>
      </c>
      <c r="I2" s="8" t="s">
        <v>67</v>
      </c>
      <c r="J2" s="8" t="s">
        <v>68</v>
      </c>
      <c r="K2" s="8" t="s">
        <v>69</v>
      </c>
      <c r="L2" s="8" t="s">
        <v>66</v>
      </c>
      <c r="M2" s="10" t="s">
        <v>70</v>
      </c>
    </row>
    <row r="3" spans="1:13" x14ac:dyDescent="0.45">
      <c r="A3" s="4" t="s">
        <v>31</v>
      </c>
      <c r="B3" s="7">
        <v>0</v>
      </c>
      <c r="C3" s="7">
        <v>0.49412752484341999</v>
      </c>
      <c r="D3" s="7">
        <v>1</v>
      </c>
      <c r="E3" s="7" t="s">
        <v>41</v>
      </c>
      <c r="F3" s="9">
        <v>0</v>
      </c>
      <c r="G3" s="9">
        <v>0.36068560316688603</v>
      </c>
      <c r="H3" s="9">
        <v>1</v>
      </c>
      <c r="I3" s="9"/>
      <c r="J3" s="9"/>
      <c r="K3" s="9"/>
      <c r="L3" s="9" t="s">
        <v>41</v>
      </c>
    </row>
    <row r="4" spans="1:13" x14ac:dyDescent="0.45">
      <c r="A4" s="4" t="s">
        <v>8</v>
      </c>
      <c r="B4" s="7">
        <v>0</v>
      </c>
      <c r="C4" s="7">
        <v>0.38238485283769003</v>
      </c>
      <c r="D4" s="7">
        <v>1</v>
      </c>
      <c r="E4" s="7" t="s">
        <v>41</v>
      </c>
      <c r="F4" s="9">
        <v>0</v>
      </c>
      <c r="G4" s="9">
        <v>0.438560366295278</v>
      </c>
      <c r="H4" s="9">
        <v>1</v>
      </c>
      <c r="I4" s="9"/>
      <c r="J4" s="9"/>
      <c r="K4" s="9"/>
      <c r="L4" s="9" t="s">
        <v>41</v>
      </c>
    </row>
    <row r="5" spans="1:13" x14ac:dyDescent="0.45">
      <c r="A5" s="4" t="s">
        <v>9</v>
      </c>
      <c r="B5" s="7">
        <v>0</v>
      </c>
      <c r="C5" s="7">
        <v>0.37654507548834998</v>
      </c>
      <c r="D5" s="7">
        <v>1</v>
      </c>
      <c r="E5" s="7" t="s">
        <v>41</v>
      </c>
      <c r="F5" s="9">
        <v>0</v>
      </c>
      <c r="G5" s="9">
        <v>0.438560366295278</v>
      </c>
      <c r="H5" s="9">
        <v>1</v>
      </c>
      <c r="I5" s="9"/>
      <c r="J5" s="9"/>
      <c r="K5" s="9"/>
      <c r="L5" s="9" t="s">
        <v>41</v>
      </c>
    </row>
    <row r="6" spans="1:13" x14ac:dyDescent="0.45">
      <c r="A6" s="4" t="s">
        <v>10</v>
      </c>
      <c r="B6" s="7">
        <v>0</v>
      </c>
      <c r="C6" s="7">
        <v>0.18698936077664999</v>
      </c>
      <c r="D6" s="7">
        <v>1</v>
      </c>
      <c r="E6" s="7" t="s">
        <v>41</v>
      </c>
      <c r="F6" s="9">
        <v>0</v>
      </c>
      <c r="G6" s="9">
        <v>9.4862385284692499E-2</v>
      </c>
      <c r="H6" s="9">
        <v>1</v>
      </c>
      <c r="I6" s="9"/>
      <c r="J6" s="9"/>
      <c r="K6" s="9"/>
      <c r="L6" s="9" t="s">
        <v>41</v>
      </c>
    </row>
    <row r="7" spans="1:13" x14ac:dyDescent="0.45">
      <c r="A7" s="4" t="s">
        <v>11</v>
      </c>
      <c r="B7" s="7" t="s">
        <v>2</v>
      </c>
      <c r="C7" s="7" t="s">
        <v>2</v>
      </c>
      <c r="D7" s="7" t="s">
        <v>2</v>
      </c>
      <c r="E7" s="7" t="s">
        <v>2</v>
      </c>
      <c r="F7" s="9">
        <v>0</v>
      </c>
      <c r="G7" s="9">
        <v>9.3895838004623394E-2</v>
      </c>
      <c r="H7" s="9">
        <v>1</v>
      </c>
      <c r="I7" s="9"/>
      <c r="J7" s="9"/>
      <c r="K7" s="9"/>
      <c r="L7" s="9" t="s">
        <v>41</v>
      </c>
    </row>
    <row r="8" spans="1:13" x14ac:dyDescent="0.45">
      <c r="A8" s="4" t="s">
        <v>12</v>
      </c>
      <c r="B8" s="7">
        <v>0</v>
      </c>
      <c r="C8" s="7">
        <v>0.24077150795981</v>
      </c>
      <c r="D8" s="7">
        <v>1</v>
      </c>
      <c r="E8" s="7" t="s">
        <v>41</v>
      </c>
      <c r="F8" s="9">
        <v>0</v>
      </c>
      <c r="G8" s="9">
        <v>0.42919276140208101</v>
      </c>
      <c r="H8" s="9">
        <v>1</v>
      </c>
      <c r="I8" s="9"/>
      <c r="J8" s="9"/>
      <c r="K8" s="9"/>
      <c r="L8" s="9" t="s">
        <v>41</v>
      </c>
    </row>
    <row r="9" spans="1:13" x14ac:dyDescent="0.45">
      <c r="A9" s="4" t="s">
        <v>13</v>
      </c>
      <c r="B9" s="7">
        <v>0</v>
      </c>
      <c r="C9" s="7">
        <v>1.5033416315046E-3</v>
      </c>
      <c r="D9" s="7">
        <v>1</v>
      </c>
      <c r="E9" s="7" t="s">
        <v>41</v>
      </c>
      <c r="F9" s="9">
        <v>0</v>
      </c>
      <c r="G9" s="9">
        <v>2.5437796275535E-2</v>
      </c>
      <c r="H9" s="9">
        <v>1</v>
      </c>
      <c r="I9" s="9"/>
      <c r="J9" s="9"/>
      <c r="K9" s="9"/>
      <c r="L9" s="9" t="s">
        <v>41</v>
      </c>
    </row>
    <row r="10" spans="1:13" x14ac:dyDescent="0.45">
      <c r="A10" s="4" t="s">
        <v>14</v>
      </c>
      <c r="B10" s="7" t="s">
        <v>2</v>
      </c>
      <c r="C10" s="7" t="s">
        <v>2</v>
      </c>
      <c r="D10" s="7" t="s">
        <v>2</v>
      </c>
      <c r="E10" s="7" t="s">
        <v>2</v>
      </c>
      <c r="F10" s="9">
        <v>0</v>
      </c>
      <c r="G10" s="9">
        <v>3.07876558888018E-2</v>
      </c>
      <c r="H10" s="9">
        <v>1</v>
      </c>
      <c r="I10" s="9"/>
      <c r="J10" s="9"/>
      <c r="K10" s="9"/>
      <c r="L10" s="9" t="s">
        <v>41</v>
      </c>
    </row>
    <row r="11" spans="1:13" x14ac:dyDescent="0.45">
      <c r="A11" s="4" t="s">
        <v>15</v>
      </c>
      <c r="B11" s="7">
        <v>1</v>
      </c>
      <c r="C11" s="7" t="s">
        <v>2</v>
      </c>
      <c r="D11" s="7">
        <v>31</v>
      </c>
      <c r="E11" s="7" t="s">
        <v>42</v>
      </c>
      <c r="F11" s="9">
        <v>0</v>
      </c>
      <c r="G11" s="9">
        <v>11.3852231801811</v>
      </c>
      <c r="H11" s="9">
        <v>32</v>
      </c>
      <c r="I11" s="9"/>
      <c r="J11" s="9"/>
      <c r="K11" s="9"/>
      <c r="L11" s="9" t="s">
        <v>42</v>
      </c>
    </row>
    <row r="12" spans="1:13" x14ac:dyDescent="0.45">
      <c r="A12" s="4" t="s">
        <v>16</v>
      </c>
      <c r="B12" s="7">
        <v>0</v>
      </c>
      <c r="C12" s="7" t="s">
        <v>2</v>
      </c>
      <c r="D12" s="7">
        <v>1</v>
      </c>
      <c r="E12" s="7" t="s">
        <v>42</v>
      </c>
      <c r="F12" s="9">
        <v>0</v>
      </c>
      <c r="G12" s="9">
        <v>0.254853015586399</v>
      </c>
      <c r="H12" s="9">
        <v>1</v>
      </c>
      <c r="I12" s="9"/>
      <c r="J12" s="9"/>
      <c r="K12" s="9"/>
      <c r="L12" s="9" t="s">
        <v>42</v>
      </c>
    </row>
    <row r="13" spans="1:13" x14ac:dyDescent="0.45">
      <c r="A13" s="4" t="s">
        <v>17</v>
      </c>
      <c r="B13" s="7" t="s">
        <v>2</v>
      </c>
      <c r="C13" s="7" t="s">
        <v>2</v>
      </c>
      <c r="D13" s="7" t="s">
        <v>2</v>
      </c>
      <c r="E13" s="7"/>
      <c r="F13" s="9">
        <v>0</v>
      </c>
      <c r="G13" s="9">
        <v>0.22919796414433499</v>
      </c>
      <c r="H13" s="9">
        <v>1</v>
      </c>
      <c r="I13" s="9"/>
      <c r="J13" s="9"/>
      <c r="K13" s="9"/>
      <c r="L13" s="9" t="s">
        <v>41</v>
      </c>
    </row>
    <row r="14" spans="1:13" x14ac:dyDescent="0.45">
      <c r="A14" s="4" t="s">
        <v>18</v>
      </c>
      <c r="B14" s="7" t="s">
        <v>2</v>
      </c>
      <c r="C14" s="7" t="s">
        <v>2</v>
      </c>
      <c r="D14" s="7" t="s">
        <v>2</v>
      </c>
      <c r="E14" s="7"/>
      <c r="F14" s="9">
        <v>0</v>
      </c>
      <c r="G14" s="9">
        <v>1.4328336293194901</v>
      </c>
      <c r="H14" s="9">
        <v>3</v>
      </c>
      <c r="I14" s="9"/>
      <c r="J14" s="9"/>
      <c r="K14" s="9"/>
      <c r="L14" s="9" t="s">
        <v>42</v>
      </c>
    </row>
    <row r="15" spans="1:13" x14ac:dyDescent="0.45">
      <c r="A15" s="4" t="s">
        <v>19</v>
      </c>
      <c r="B15" s="7">
        <v>1</v>
      </c>
      <c r="C15" s="7" t="s">
        <v>2</v>
      </c>
      <c r="D15" s="7">
        <v>3</v>
      </c>
      <c r="E15" s="7" t="s">
        <v>42</v>
      </c>
      <c r="F15" s="9">
        <v>0</v>
      </c>
      <c r="G15" s="9">
        <v>0.31420841921674297</v>
      </c>
      <c r="H15" s="9">
        <v>3</v>
      </c>
      <c r="I15" s="9"/>
      <c r="J15" s="9"/>
      <c r="K15" s="9"/>
      <c r="L15" s="9" t="s">
        <v>42</v>
      </c>
    </row>
    <row r="16" spans="1:13" x14ac:dyDescent="0.45">
      <c r="A16" s="4" t="s">
        <v>20</v>
      </c>
      <c r="B16" s="7">
        <v>0</v>
      </c>
      <c r="C16" s="7">
        <v>0.33035254579524997</v>
      </c>
      <c r="D16" s="7">
        <v>1</v>
      </c>
      <c r="E16" s="7" t="s">
        <v>41</v>
      </c>
      <c r="F16" s="9">
        <v>0</v>
      </c>
      <c r="G16" s="9">
        <v>0.31420841921674297</v>
      </c>
      <c r="H16" s="9">
        <v>1</v>
      </c>
      <c r="I16" s="9"/>
      <c r="J16" s="9"/>
      <c r="K16" s="9"/>
      <c r="L16" s="9" t="s">
        <v>41</v>
      </c>
    </row>
    <row r="17" spans="1:13" x14ac:dyDescent="0.45">
      <c r="A17" s="4" t="s">
        <v>21</v>
      </c>
      <c r="B17" s="7">
        <v>0</v>
      </c>
      <c r="C17" s="7" t="s">
        <v>2</v>
      </c>
      <c r="D17" s="7">
        <v>1</v>
      </c>
      <c r="E17" s="7" t="s">
        <v>42</v>
      </c>
      <c r="F17" s="9">
        <v>0</v>
      </c>
      <c r="G17" s="9">
        <v>6.3040092069885797E-2</v>
      </c>
      <c r="H17" s="9">
        <v>1</v>
      </c>
      <c r="I17" s="9"/>
      <c r="J17" s="9"/>
      <c r="K17" s="9"/>
      <c r="L17" s="9" t="s">
        <v>42</v>
      </c>
    </row>
    <row r="18" spans="1:13" x14ac:dyDescent="0.45">
      <c r="A18" s="4" t="s">
        <v>22</v>
      </c>
      <c r="B18" s="7" t="s">
        <v>2</v>
      </c>
      <c r="C18" s="7" t="s">
        <v>2</v>
      </c>
      <c r="D18" s="7" t="s">
        <v>2</v>
      </c>
      <c r="E18" s="7"/>
      <c r="F18" s="9">
        <v>0</v>
      </c>
      <c r="G18" s="9">
        <v>6.3040092069885797E-2</v>
      </c>
      <c r="H18" s="9">
        <v>1</v>
      </c>
      <c r="I18" s="9"/>
      <c r="J18" s="9"/>
      <c r="K18" s="9"/>
      <c r="L18" s="9" t="s">
        <v>41</v>
      </c>
    </row>
    <row r="19" spans="1:13" x14ac:dyDescent="0.45">
      <c r="A19" s="4" t="s">
        <v>23</v>
      </c>
      <c r="B19" s="7">
        <v>0</v>
      </c>
      <c r="C19" s="7">
        <v>0.33440317356417998</v>
      </c>
      <c r="D19" s="7">
        <v>1</v>
      </c>
      <c r="E19" s="7" t="s">
        <v>41</v>
      </c>
      <c r="F19" s="9">
        <v>0</v>
      </c>
      <c r="G19" s="9">
        <v>0.26680345262071697</v>
      </c>
      <c r="H19" s="9">
        <v>1</v>
      </c>
      <c r="I19" s="9"/>
      <c r="J19" s="9"/>
      <c r="K19" s="9"/>
      <c r="L19" s="9" t="s">
        <v>41</v>
      </c>
    </row>
    <row r="20" spans="1:13" x14ac:dyDescent="0.45">
      <c r="A20" s="4" t="s">
        <v>24</v>
      </c>
      <c r="B20" s="7">
        <v>0</v>
      </c>
      <c r="C20" s="7">
        <v>0.44354320710224998</v>
      </c>
      <c r="D20" s="7">
        <v>1</v>
      </c>
      <c r="E20" s="7" t="s">
        <v>41</v>
      </c>
      <c r="F20" s="9">
        <v>0</v>
      </c>
      <c r="G20" s="9">
        <v>0.40719852172273802</v>
      </c>
      <c r="H20" s="9">
        <v>1</v>
      </c>
      <c r="I20" s="9"/>
      <c r="J20" s="9"/>
      <c r="K20" s="9"/>
      <c r="L20" s="9" t="s">
        <v>41</v>
      </c>
    </row>
    <row r="21" spans="1:13" x14ac:dyDescent="0.45">
      <c r="A21" s="4" t="s">
        <v>25</v>
      </c>
      <c r="B21" s="7">
        <v>0</v>
      </c>
      <c r="C21" s="7">
        <v>19.960395048489001</v>
      </c>
      <c r="D21" s="7">
        <v>100</v>
      </c>
      <c r="E21" s="7" t="s">
        <v>41</v>
      </c>
      <c r="F21" s="9">
        <v>0</v>
      </c>
      <c r="G21" s="9">
        <v>2.9360088790233001</v>
      </c>
      <c r="H21" s="9"/>
      <c r="I21" s="9"/>
      <c r="J21" s="9"/>
      <c r="K21" s="9"/>
      <c r="L21" s="9" t="s">
        <v>41</v>
      </c>
    </row>
    <row r="22" spans="1:13" x14ac:dyDescent="0.45">
      <c r="A22" s="4" t="s">
        <v>26</v>
      </c>
      <c r="B22" s="7">
        <v>1</v>
      </c>
      <c r="C22" s="7" t="s">
        <v>2</v>
      </c>
      <c r="D22" s="7">
        <v>99</v>
      </c>
      <c r="E22" s="7" t="s">
        <v>42</v>
      </c>
      <c r="F22" s="17">
        <v>0</v>
      </c>
      <c r="G22" s="17">
        <v>11.3852231801811</v>
      </c>
      <c r="H22" s="17">
        <v>32</v>
      </c>
      <c r="I22" s="9"/>
      <c r="J22" s="9"/>
      <c r="K22" s="9"/>
      <c r="L22" s="9" t="s">
        <v>42</v>
      </c>
      <c r="M22" s="3" t="s">
        <v>71</v>
      </c>
    </row>
    <row r="23" spans="1:13" x14ac:dyDescent="0.45">
      <c r="A23" s="4" t="s">
        <v>27</v>
      </c>
      <c r="B23" s="7">
        <v>0</v>
      </c>
      <c r="C23" s="7">
        <v>0.24077150795981</v>
      </c>
      <c r="D23" s="7">
        <v>1</v>
      </c>
      <c r="E23" s="7" t="s">
        <v>41</v>
      </c>
      <c r="F23" s="9">
        <v>0</v>
      </c>
      <c r="G23" s="9">
        <v>0.34721967398529602</v>
      </c>
      <c r="H23" s="9">
        <v>1</v>
      </c>
      <c r="I23" s="9"/>
      <c r="J23" s="9"/>
      <c r="K23" s="9"/>
      <c r="L23" s="9" t="s">
        <v>41</v>
      </c>
    </row>
    <row r="24" spans="1:13" x14ac:dyDescent="0.45">
      <c r="A24" s="4" t="s">
        <v>28</v>
      </c>
      <c r="B24" s="7">
        <v>0</v>
      </c>
      <c r="C24" s="7" t="s">
        <v>2</v>
      </c>
      <c r="D24" s="7">
        <v>1</v>
      </c>
      <c r="E24" s="7" t="s">
        <v>42</v>
      </c>
      <c r="F24" s="9">
        <v>0</v>
      </c>
      <c r="G24" s="9">
        <v>7.9172164733661995E-2</v>
      </c>
      <c r="H24" s="9">
        <v>1</v>
      </c>
      <c r="I24" s="9"/>
      <c r="J24" s="9"/>
      <c r="K24" s="9"/>
      <c r="L24" s="9" t="s">
        <v>42</v>
      </c>
    </row>
    <row r="25" spans="1:13" x14ac:dyDescent="0.45">
      <c r="A25" s="4" t="s">
        <v>29</v>
      </c>
      <c r="B25" s="7">
        <v>0</v>
      </c>
      <c r="C25" s="7" t="s">
        <v>2</v>
      </c>
      <c r="D25" s="7">
        <v>1</v>
      </c>
      <c r="E25" s="7" t="s">
        <v>42</v>
      </c>
      <c r="F25" s="9">
        <v>0</v>
      </c>
      <c r="G25" s="9">
        <v>6.4266367704106403E-2</v>
      </c>
      <c r="H25" s="9">
        <v>1</v>
      </c>
      <c r="I25" s="9"/>
      <c r="J25" s="9"/>
      <c r="K25" s="9"/>
      <c r="L25" s="9" t="s">
        <v>42</v>
      </c>
    </row>
    <row r="26" spans="1:13" x14ac:dyDescent="0.45">
      <c r="A26" s="4" t="s">
        <v>30</v>
      </c>
      <c r="B26" s="7" t="s">
        <v>2</v>
      </c>
      <c r="C26" s="7" t="s">
        <v>2</v>
      </c>
      <c r="D26" s="7" t="s">
        <v>2</v>
      </c>
      <c r="E26" s="7" t="s">
        <v>2</v>
      </c>
      <c r="F26" s="9">
        <v>0</v>
      </c>
      <c r="G26" s="9">
        <v>8.3817328584326306E-2</v>
      </c>
      <c r="H26" s="9">
        <v>1</v>
      </c>
      <c r="I26" s="9"/>
      <c r="J26" s="9"/>
      <c r="K26" s="9"/>
      <c r="L26" s="9" t="s">
        <v>42</v>
      </c>
    </row>
    <row r="27" spans="1:13" x14ac:dyDescent="0.45">
      <c r="A27" s="5"/>
      <c r="B27" s="7"/>
      <c r="C27" s="7"/>
      <c r="D27" s="7"/>
      <c r="E27" s="7"/>
      <c r="G27" s="9"/>
      <c r="H27" s="9"/>
      <c r="I27" s="9"/>
      <c r="J27" s="9"/>
      <c r="K27" s="9"/>
      <c r="L27" s="9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98A3-9B00-4FB8-9A75-F8DB14CDE33F}">
  <dimension ref="A2:P77"/>
  <sheetViews>
    <sheetView zoomScale="115" zoomScaleNormal="115"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A77" sqref="A3:A77"/>
    </sheetView>
  </sheetViews>
  <sheetFormatPr defaultRowHeight="14.25" x14ac:dyDescent="0.45"/>
  <cols>
    <col min="1" max="1" width="30.265625" bestFit="1" customWidth="1"/>
    <col min="2" max="2" width="18.73046875" hidden="1" customWidth="1"/>
    <col min="3" max="3" width="3.59765625" hidden="1" customWidth="1"/>
    <col min="4" max="4" width="11.59765625" hidden="1" customWidth="1"/>
    <col min="5" max="5" width="12.265625" hidden="1" customWidth="1"/>
    <col min="6" max="6" width="21.06640625" hidden="1" customWidth="1"/>
    <col min="7" max="10" width="21.06640625" customWidth="1"/>
    <col min="11" max="11" width="12" bestFit="1" customWidth="1"/>
    <col min="12" max="12" width="0" hidden="1" customWidth="1"/>
    <col min="13" max="13" width="11.06640625" hidden="1" customWidth="1"/>
    <col min="14" max="14" width="18" style="3" bestFit="1" customWidth="1"/>
    <col min="15" max="15" width="43.265625" style="3" bestFit="1" customWidth="1"/>
    <col min="16" max="17" width="16.33203125" bestFit="1" customWidth="1"/>
  </cols>
  <sheetData>
    <row r="2" spans="1:16" x14ac:dyDescent="0.45">
      <c r="A2" s="5"/>
      <c r="B2" s="22" t="s">
        <v>3</v>
      </c>
      <c r="C2" s="22"/>
      <c r="D2" s="8" t="s">
        <v>74</v>
      </c>
      <c r="E2" s="3"/>
      <c r="F2" s="18" t="s">
        <v>75</v>
      </c>
      <c r="G2" s="18" t="s">
        <v>144</v>
      </c>
      <c r="H2" s="18"/>
      <c r="I2" s="18"/>
      <c r="J2" s="18"/>
      <c r="K2" s="19"/>
      <c r="L2" s="18"/>
      <c r="N2" s="10"/>
      <c r="O2" s="10"/>
    </row>
    <row r="3" spans="1:16" x14ac:dyDescent="0.45">
      <c r="A3" s="4" t="s">
        <v>61</v>
      </c>
      <c r="B3" s="22" t="s">
        <v>111</v>
      </c>
      <c r="C3" s="22" t="s">
        <v>46</v>
      </c>
      <c r="D3" s="8" t="s">
        <v>72</v>
      </c>
      <c r="E3" s="8" t="s">
        <v>64</v>
      </c>
      <c r="F3" s="18" t="s">
        <v>145</v>
      </c>
      <c r="G3" s="18" t="s">
        <v>148</v>
      </c>
      <c r="H3" s="18" t="s">
        <v>149</v>
      </c>
      <c r="I3" s="18" t="s">
        <v>150</v>
      </c>
      <c r="J3" s="18" t="s">
        <v>151</v>
      </c>
      <c r="K3" s="18" t="s">
        <v>65</v>
      </c>
      <c r="L3" s="20" t="s">
        <v>73</v>
      </c>
      <c r="M3" s="20" t="s">
        <v>63</v>
      </c>
      <c r="N3" s="10" t="s">
        <v>66</v>
      </c>
      <c r="O3" s="10" t="s">
        <v>77</v>
      </c>
      <c r="P3" s="16" t="s">
        <v>62</v>
      </c>
    </row>
    <row r="4" spans="1:16" x14ac:dyDescent="0.45">
      <c r="A4" s="4" t="s">
        <v>55</v>
      </c>
      <c r="B4" s="23">
        <v>886</v>
      </c>
      <c r="C4" s="23" t="s">
        <v>57</v>
      </c>
      <c r="D4" s="9">
        <v>595</v>
      </c>
      <c r="E4" s="3"/>
      <c r="F4" s="19">
        <v>846</v>
      </c>
      <c r="G4" s="19">
        <v>533</v>
      </c>
      <c r="H4" s="19">
        <v>533</v>
      </c>
      <c r="I4" s="19">
        <v>533</v>
      </c>
      <c r="J4" s="19">
        <v>533</v>
      </c>
      <c r="K4" s="19"/>
      <c r="L4" s="21"/>
      <c r="M4" s="21"/>
      <c r="N4" s="3" t="s">
        <v>57</v>
      </c>
      <c r="O4" s="3" t="s">
        <v>78</v>
      </c>
      <c r="P4" s="13"/>
    </row>
    <row r="5" spans="1:16" x14ac:dyDescent="0.45">
      <c r="A5" s="4" t="s">
        <v>56</v>
      </c>
      <c r="B5" s="23">
        <v>536</v>
      </c>
      <c r="C5" s="23" t="s">
        <v>57</v>
      </c>
      <c r="D5" s="9">
        <v>847</v>
      </c>
      <c r="E5" s="3"/>
      <c r="F5" s="19">
        <v>1078</v>
      </c>
      <c r="G5" s="19">
        <v>704</v>
      </c>
      <c r="H5" s="19">
        <v>704</v>
      </c>
      <c r="I5" s="19">
        <v>704</v>
      </c>
      <c r="J5" s="19">
        <v>704</v>
      </c>
      <c r="K5" s="19"/>
      <c r="L5" s="21"/>
      <c r="M5" s="21"/>
      <c r="N5" s="3" t="s">
        <v>57</v>
      </c>
      <c r="O5" s="3" t="s">
        <v>79</v>
      </c>
      <c r="P5" s="3"/>
    </row>
    <row r="6" spans="1:16" x14ac:dyDescent="0.45">
      <c r="A6" s="4" t="s">
        <v>51</v>
      </c>
      <c r="B6" s="25">
        <v>730915.48888016003</v>
      </c>
      <c r="C6" s="23" t="s">
        <v>58</v>
      </c>
      <c r="D6" s="12">
        <v>253336.3548</v>
      </c>
      <c r="E6" s="3"/>
      <c r="F6" s="19" t="s">
        <v>133</v>
      </c>
      <c r="G6" s="26" t="s">
        <v>147</v>
      </c>
      <c r="H6" s="26" t="s">
        <v>147</v>
      </c>
      <c r="I6" s="26" t="s">
        <v>147</v>
      </c>
      <c r="J6" s="26" t="s">
        <v>147</v>
      </c>
      <c r="K6" s="19"/>
      <c r="L6" s="21"/>
      <c r="M6" s="21"/>
      <c r="N6" s="3" t="s">
        <v>58</v>
      </c>
      <c r="O6" s="3" t="s">
        <v>80</v>
      </c>
      <c r="P6" s="13"/>
    </row>
    <row r="7" spans="1:16" x14ac:dyDescent="0.45">
      <c r="A7" s="4" t="s">
        <v>52</v>
      </c>
      <c r="B7" s="25">
        <v>577823.10587025003</v>
      </c>
      <c r="C7" s="23" t="s">
        <v>58</v>
      </c>
      <c r="D7" s="12">
        <v>2041831.0223999999</v>
      </c>
      <c r="E7" s="3"/>
      <c r="F7" s="19" t="s">
        <v>134</v>
      </c>
      <c r="G7" s="26" t="s">
        <v>146</v>
      </c>
      <c r="H7" s="26" t="s">
        <v>146</v>
      </c>
      <c r="I7" s="26" t="s">
        <v>146</v>
      </c>
      <c r="J7" s="26" t="s">
        <v>146</v>
      </c>
      <c r="K7" s="19"/>
      <c r="L7" s="21"/>
      <c r="M7" s="21"/>
      <c r="N7" s="3" t="s">
        <v>58</v>
      </c>
      <c r="O7" s="3" t="s">
        <v>81</v>
      </c>
      <c r="P7" s="3"/>
    </row>
    <row r="8" spans="1:16" x14ac:dyDescent="0.45">
      <c r="A8" s="4" t="s">
        <v>53</v>
      </c>
      <c r="B8" s="23">
        <v>200</v>
      </c>
      <c r="C8" s="23" t="s">
        <v>57</v>
      </c>
      <c r="D8" s="9">
        <v>150</v>
      </c>
      <c r="E8" s="3"/>
      <c r="F8" s="19">
        <v>150</v>
      </c>
      <c r="G8" s="19">
        <v>150</v>
      </c>
      <c r="H8" s="19">
        <v>150</v>
      </c>
      <c r="I8" s="19">
        <v>150</v>
      </c>
      <c r="J8" s="19">
        <v>150</v>
      </c>
      <c r="K8" s="19"/>
      <c r="L8" s="21"/>
      <c r="M8" s="21"/>
      <c r="N8" s="3" t="s">
        <v>57</v>
      </c>
      <c r="O8" s="3" t="s">
        <v>82</v>
      </c>
      <c r="P8" s="13"/>
    </row>
    <row r="9" spans="1:16" x14ac:dyDescent="0.45">
      <c r="A9" s="4" t="s">
        <v>54</v>
      </c>
      <c r="B9" s="23">
        <v>-9999</v>
      </c>
      <c r="C9" s="23" t="s">
        <v>57</v>
      </c>
      <c r="D9" s="9">
        <v>-9999</v>
      </c>
      <c r="E9" s="3"/>
      <c r="F9" s="19">
        <v>-9999</v>
      </c>
      <c r="G9" s="19">
        <v>-9999</v>
      </c>
      <c r="H9" s="19">
        <v>-9999</v>
      </c>
      <c r="I9" s="19">
        <v>-9999</v>
      </c>
      <c r="J9" s="19">
        <v>-9999</v>
      </c>
      <c r="K9" s="19"/>
      <c r="L9" s="21"/>
      <c r="M9" s="21"/>
      <c r="N9" s="3" t="s">
        <v>57</v>
      </c>
      <c r="P9" s="3"/>
    </row>
    <row r="10" spans="1:16" x14ac:dyDescent="0.45">
      <c r="A10" s="4" t="s">
        <v>5</v>
      </c>
      <c r="B10" s="23">
        <v>885</v>
      </c>
      <c r="C10" s="23" t="s">
        <v>57</v>
      </c>
      <c r="D10" s="9">
        <v>594</v>
      </c>
      <c r="E10" s="3"/>
      <c r="F10" s="19">
        <v>845</v>
      </c>
      <c r="G10" s="19">
        <v>534</v>
      </c>
      <c r="H10" s="19">
        <v>534</v>
      </c>
      <c r="I10" s="19">
        <v>534</v>
      </c>
      <c r="J10" s="19">
        <v>534</v>
      </c>
      <c r="K10" s="19"/>
      <c r="L10" s="21"/>
      <c r="M10" s="21"/>
      <c r="N10" s="3" t="s">
        <v>57</v>
      </c>
      <c r="O10" s="3" t="s">
        <v>83</v>
      </c>
      <c r="P10" s="3"/>
    </row>
    <row r="11" spans="1:16" x14ac:dyDescent="0.45">
      <c r="A11" s="4" t="s">
        <v>6</v>
      </c>
      <c r="B11" s="23">
        <v>535</v>
      </c>
      <c r="C11" s="23" t="s">
        <v>57</v>
      </c>
      <c r="D11" s="9">
        <v>846</v>
      </c>
      <c r="E11" s="3"/>
      <c r="F11" s="19">
        <v>1077</v>
      </c>
      <c r="G11" s="19">
        <v>703</v>
      </c>
      <c r="H11" s="19">
        <v>703</v>
      </c>
      <c r="I11" s="19">
        <v>703</v>
      </c>
      <c r="J11" s="19">
        <v>703</v>
      </c>
      <c r="K11" s="19"/>
      <c r="L11" s="21"/>
      <c r="M11" s="21"/>
      <c r="N11" s="3" t="s">
        <v>57</v>
      </c>
      <c r="O11" s="3" t="s">
        <v>84</v>
      </c>
      <c r="P11" s="3"/>
    </row>
    <row r="12" spans="1:16" x14ac:dyDescent="0.45">
      <c r="A12" s="4" t="s">
        <v>7</v>
      </c>
      <c r="B12" s="23">
        <v>0.99</v>
      </c>
      <c r="C12" s="23" t="s">
        <v>58</v>
      </c>
      <c r="D12" s="9">
        <v>1</v>
      </c>
      <c r="E12" s="3"/>
      <c r="F12" s="19">
        <v>1</v>
      </c>
      <c r="G12" s="19">
        <v>1</v>
      </c>
      <c r="H12" s="19">
        <v>1</v>
      </c>
      <c r="I12" s="19">
        <v>1</v>
      </c>
      <c r="J12" s="19">
        <v>1</v>
      </c>
      <c r="K12" s="19"/>
      <c r="L12" s="21"/>
      <c r="M12" s="21"/>
      <c r="N12" s="3" t="s">
        <v>58</v>
      </c>
      <c r="P12" s="3"/>
    </row>
    <row r="13" spans="1:16" x14ac:dyDescent="0.45">
      <c r="A13" s="4" t="s">
        <v>76</v>
      </c>
      <c r="B13" s="23">
        <v>50</v>
      </c>
      <c r="C13" s="23" t="s">
        <v>57</v>
      </c>
      <c r="D13" s="11">
        <v>50</v>
      </c>
      <c r="E13" s="24"/>
      <c r="F13" s="19">
        <f>(150/30)*10</f>
        <v>50</v>
      </c>
      <c r="G13" s="19">
        <f>(150/30)*10</f>
        <v>50</v>
      </c>
      <c r="H13" s="19">
        <f>(150/30)*10</f>
        <v>50</v>
      </c>
      <c r="I13" s="19">
        <f>(150/30)*10</f>
        <v>50</v>
      </c>
      <c r="J13" s="19">
        <f>(150/30)*10</f>
        <v>50</v>
      </c>
      <c r="K13" s="19"/>
      <c r="L13" s="21"/>
      <c r="M13" s="21"/>
      <c r="O13" s="3" t="s">
        <v>85</v>
      </c>
      <c r="P13" s="3"/>
    </row>
    <row r="14" spans="1:16" x14ac:dyDescent="0.45">
      <c r="A14" s="4" t="s">
        <v>32</v>
      </c>
      <c r="B14" s="23">
        <v>22320</v>
      </c>
      <c r="C14" s="23" t="s">
        <v>57</v>
      </c>
      <c r="D14" s="11"/>
      <c r="E14" s="9" t="s">
        <v>60</v>
      </c>
      <c r="F14" s="19">
        <v>36254</v>
      </c>
      <c r="G14" s="19">
        <v>23959</v>
      </c>
      <c r="H14" s="19">
        <v>31677</v>
      </c>
      <c r="I14" s="19">
        <v>51168</v>
      </c>
      <c r="J14" s="19">
        <v>71629</v>
      </c>
      <c r="K14" s="19"/>
      <c r="L14" s="21"/>
      <c r="M14" s="21"/>
      <c r="N14" s="3" t="s">
        <v>57</v>
      </c>
      <c r="O14" s="3" t="s">
        <v>137</v>
      </c>
      <c r="P14" s="3"/>
    </row>
    <row r="15" spans="1:16" x14ac:dyDescent="0.45">
      <c r="A15" s="4" t="s">
        <v>152</v>
      </c>
      <c r="B15" s="23"/>
      <c r="C15" s="23"/>
      <c r="D15" s="11"/>
      <c r="E15" s="24"/>
      <c r="F15" s="19" t="s">
        <v>2</v>
      </c>
      <c r="G15" s="19">
        <v>10</v>
      </c>
      <c r="H15" s="19">
        <v>7</v>
      </c>
      <c r="I15" s="19">
        <v>10</v>
      </c>
      <c r="J15" s="19">
        <v>17</v>
      </c>
      <c r="K15" s="19"/>
      <c r="L15" s="21"/>
      <c r="M15" s="21"/>
      <c r="P15" s="3"/>
    </row>
    <row r="16" spans="1:16" x14ac:dyDescent="0.45">
      <c r="A16" s="4" t="s">
        <v>50</v>
      </c>
      <c r="B16" s="23">
        <v>52</v>
      </c>
      <c r="C16" s="23" t="s">
        <v>57</v>
      </c>
      <c r="D16" s="11"/>
      <c r="E16" s="9" t="s">
        <v>60</v>
      </c>
      <c r="F16" s="19">
        <v>40</v>
      </c>
      <c r="G16" s="19">
        <v>30</v>
      </c>
      <c r="H16" s="19">
        <v>21</v>
      </c>
      <c r="I16" s="19">
        <v>30</v>
      </c>
      <c r="J16" s="19">
        <v>48</v>
      </c>
      <c r="K16" s="19"/>
      <c r="L16" s="21"/>
      <c r="M16" s="21"/>
      <c r="N16" s="3" t="s">
        <v>57</v>
      </c>
      <c r="O16" s="3" t="s">
        <v>86</v>
      </c>
      <c r="P16" s="3"/>
    </row>
    <row r="17" spans="1:16" x14ac:dyDescent="0.45">
      <c r="A17" s="4" t="s">
        <v>33</v>
      </c>
      <c r="B17" s="23">
        <v>39</v>
      </c>
      <c r="C17" s="23" t="s">
        <v>57</v>
      </c>
      <c r="D17" s="11"/>
      <c r="E17" s="9" t="s">
        <v>60</v>
      </c>
      <c r="F17" s="19">
        <v>50</v>
      </c>
      <c r="G17" s="19">
        <v>50</v>
      </c>
      <c r="H17" s="19">
        <v>55</v>
      </c>
      <c r="I17" s="19">
        <v>50</v>
      </c>
      <c r="J17" s="19">
        <v>28</v>
      </c>
      <c r="K17" s="19"/>
      <c r="L17" s="21"/>
      <c r="M17" s="21"/>
      <c r="N17" s="3" t="s">
        <v>57</v>
      </c>
      <c r="O17" s="3" t="s">
        <v>86</v>
      </c>
      <c r="P17" s="3"/>
    </row>
    <row r="18" spans="1:16" x14ac:dyDescent="0.45">
      <c r="A18" s="4" t="s">
        <v>34</v>
      </c>
      <c r="B18" s="23">
        <v>9</v>
      </c>
      <c r="C18" s="23" t="s">
        <v>57</v>
      </c>
      <c r="D18" s="11"/>
      <c r="E18" s="9" t="s">
        <v>60</v>
      </c>
      <c r="F18" s="19">
        <v>10</v>
      </c>
      <c r="G18" s="19">
        <v>10</v>
      </c>
      <c r="H18" s="19">
        <v>17</v>
      </c>
      <c r="I18" s="19">
        <v>10</v>
      </c>
      <c r="J18" s="19">
        <v>7</v>
      </c>
      <c r="K18" s="19"/>
      <c r="L18" s="21"/>
      <c r="M18" s="21"/>
      <c r="N18" s="3" t="s">
        <v>57</v>
      </c>
      <c r="O18" s="3" t="s">
        <v>86</v>
      </c>
      <c r="P18" s="3"/>
    </row>
    <row r="19" spans="1:16" x14ac:dyDescent="0.45">
      <c r="A19" s="4" t="s">
        <v>35</v>
      </c>
      <c r="B19" s="23">
        <v>200</v>
      </c>
      <c r="C19" s="23" t="s">
        <v>57</v>
      </c>
      <c r="D19" s="11"/>
      <c r="E19" s="9" t="s">
        <v>60</v>
      </c>
      <c r="F19" s="19">
        <v>200</v>
      </c>
      <c r="G19" s="19">
        <v>550</v>
      </c>
      <c r="H19" s="19">
        <v>550</v>
      </c>
      <c r="I19" s="19">
        <v>550</v>
      </c>
      <c r="J19" s="19">
        <v>550</v>
      </c>
      <c r="K19" s="19"/>
      <c r="L19" s="21"/>
      <c r="M19" s="21"/>
      <c r="N19" s="3" t="s">
        <v>57</v>
      </c>
      <c r="O19" s="2" t="s">
        <v>124</v>
      </c>
      <c r="P19" s="3"/>
    </row>
    <row r="20" spans="1:16" x14ac:dyDescent="0.45">
      <c r="A20" s="4" t="s">
        <v>59</v>
      </c>
      <c r="B20" s="23">
        <v>29</v>
      </c>
      <c r="C20" s="23" t="s">
        <v>57</v>
      </c>
      <c r="D20" s="11"/>
      <c r="E20" s="9" t="s">
        <v>60</v>
      </c>
      <c r="F20" s="19">
        <v>30</v>
      </c>
      <c r="G20" s="19">
        <v>30</v>
      </c>
      <c r="H20" s="19">
        <v>30</v>
      </c>
      <c r="I20" s="19">
        <v>30</v>
      </c>
      <c r="J20" s="19">
        <v>30</v>
      </c>
      <c r="K20" s="19"/>
      <c r="L20" s="21"/>
      <c r="M20" s="21"/>
      <c r="N20" s="3" t="s">
        <v>57</v>
      </c>
      <c r="O20" s="2" t="s">
        <v>124</v>
      </c>
      <c r="P20" s="3"/>
    </row>
    <row r="21" spans="1:16" x14ac:dyDescent="0.45">
      <c r="A21" s="4" t="s">
        <v>36</v>
      </c>
      <c r="B21" s="23">
        <v>70</v>
      </c>
      <c r="C21" s="23" t="s">
        <v>57</v>
      </c>
      <c r="D21" s="11"/>
      <c r="E21" s="9" t="s">
        <v>60</v>
      </c>
      <c r="F21" s="19">
        <v>70</v>
      </c>
      <c r="G21" s="19">
        <v>70</v>
      </c>
      <c r="H21" s="19">
        <v>70</v>
      </c>
      <c r="I21" s="19">
        <v>70</v>
      </c>
      <c r="J21" s="19">
        <v>70</v>
      </c>
      <c r="K21" s="19"/>
      <c r="L21" s="21"/>
      <c r="M21" s="21"/>
      <c r="N21" s="3" t="s">
        <v>57</v>
      </c>
      <c r="O21" s="2" t="s">
        <v>124</v>
      </c>
      <c r="P21" s="3"/>
    </row>
    <row r="22" spans="1:16" x14ac:dyDescent="0.45">
      <c r="A22" s="4" t="s">
        <v>37</v>
      </c>
      <c r="B22" s="23">
        <v>15</v>
      </c>
      <c r="C22" s="23" t="s">
        <v>57</v>
      </c>
      <c r="D22" s="19">
        <v>15</v>
      </c>
      <c r="E22" s="9" t="s">
        <v>60</v>
      </c>
      <c r="F22" s="19">
        <v>15</v>
      </c>
      <c r="G22" s="19">
        <v>28</v>
      </c>
      <c r="H22" s="19">
        <v>28</v>
      </c>
      <c r="I22" s="19">
        <v>28</v>
      </c>
      <c r="J22" s="19">
        <v>28</v>
      </c>
      <c r="K22" s="19"/>
      <c r="L22" s="21"/>
      <c r="M22" s="21"/>
      <c r="N22" s="3" t="s">
        <v>57</v>
      </c>
      <c r="O22" s="3" t="s">
        <v>82</v>
      </c>
      <c r="P22" s="3"/>
    </row>
    <row r="23" spans="1:16" x14ac:dyDescent="0.45">
      <c r="A23" s="4" t="s">
        <v>38</v>
      </c>
      <c r="B23" s="23">
        <v>11</v>
      </c>
      <c r="C23" s="23" t="s">
        <v>57</v>
      </c>
      <c r="D23" s="11"/>
      <c r="E23" s="9" t="s">
        <v>60</v>
      </c>
      <c r="F23" s="19">
        <v>80</v>
      </c>
      <c r="G23" s="19">
        <v>80</v>
      </c>
      <c r="H23" s="19">
        <v>80</v>
      </c>
      <c r="I23" s="19">
        <v>80</v>
      </c>
      <c r="J23" s="19">
        <v>80</v>
      </c>
      <c r="K23" s="19"/>
      <c r="L23" s="21"/>
      <c r="M23" s="21"/>
      <c r="N23" s="3" t="s">
        <v>57</v>
      </c>
      <c r="O23" s="3" t="s">
        <v>87</v>
      </c>
      <c r="P23" s="3"/>
    </row>
    <row r="24" spans="1:16" x14ac:dyDescent="0.45">
      <c r="A24" s="4" t="s">
        <v>39</v>
      </c>
      <c r="B24" s="23">
        <v>25</v>
      </c>
      <c r="C24" s="23" t="s">
        <v>57</v>
      </c>
      <c r="D24" s="11"/>
      <c r="E24" s="9" t="s">
        <v>60</v>
      </c>
      <c r="F24" s="19">
        <v>25</v>
      </c>
      <c r="G24" s="19">
        <v>17</v>
      </c>
      <c r="H24" s="19">
        <v>17</v>
      </c>
      <c r="I24" s="19">
        <v>25</v>
      </c>
      <c r="J24" s="19">
        <v>35</v>
      </c>
      <c r="K24" s="19"/>
      <c r="L24" s="21"/>
      <c r="M24" s="21"/>
      <c r="N24" s="3" t="s">
        <v>57</v>
      </c>
      <c r="O24" s="2" t="s">
        <v>124</v>
      </c>
      <c r="P24" s="3"/>
    </row>
    <row r="25" spans="1:16" x14ac:dyDescent="0.45">
      <c r="A25" s="4" t="s">
        <v>40</v>
      </c>
      <c r="B25" s="23">
        <v>10</v>
      </c>
      <c r="C25" s="23" t="s">
        <v>57</v>
      </c>
      <c r="D25" s="11"/>
      <c r="E25" s="9" t="s">
        <v>60</v>
      </c>
      <c r="F25" s="19">
        <v>90</v>
      </c>
      <c r="G25" s="19">
        <v>50</v>
      </c>
      <c r="H25" s="19">
        <v>80</v>
      </c>
      <c r="I25" s="19">
        <v>50</v>
      </c>
      <c r="J25" s="19">
        <v>30</v>
      </c>
      <c r="K25" s="19"/>
      <c r="L25" s="21"/>
      <c r="M25" s="21"/>
      <c r="N25" s="3" t="s">
        <v>57</v>
      </c>
      <c r="O25" s="3" t="s">
        <v>88</v>
      </c>
      <c r="P25" s="3"/>
    </row>
    <row r="26" spans="1:16" x14ac:dyDescent="0.45">
      <c r="A26" s="4" t="s">
        <v>153</v>
      </c>
      <c r="B26" s="23"/>
      <c r="C26" s="23"/>
      <c r="D26" s="11"/>
      <c r="E26" s="24"/>
      <c r="F26" s="2">
        <v>3</v>
      </c>
      <c r="G26" s="19">
        <v>3</v>
      </c>
      <c r="H26" s="19">
        <v>3</v>
      </c>
      <c r="I26" s="19">
        <v>3</v>
      </c>
      <c r="J26" s="19">
        <v>3</v>
      </c>
      <c r="K26" s="19"/>
      <c r="L26" s="21"/>
      <c r="M26" s="21"/>
      <c r="N26" s="3" t="s">
        <v>57</v>
      </c>
      <c r="O26" s="3" t="s">
        <v>88</v>
      </c>
      <c r="P26" s="3"/>
    </row>
    <row r="27" spans="1:16" x14ac:dyDescent="0.45">
      <c r="A27" s="4" t="s">
        <v>154</v>
      </c>
      <c r="B27" s="23"/>
      <c r="C27" s="23"/>
      <c r="D27" s="11"/>
      <c r="E27" s="24"/>
      <c r="F27" s="2">
        <v>9</v>
      </c>
      <c r="G27" s="19">
        <v>9</v>
      </c>
      <c r="H27" s="19">
        <v>9</v>
      </c>
      <c r="I27" s="19">
        <v>9</v>
      </c>
      <c r="J27" s="19">
        <v>9</v>
      </c>
      <c r="K27" s="19"/>
      <c r="L27" s="21"/>
      <c r="M27" s="21"/>
      <c r="N27" s="3" t="s">
        <v>57</v>
      </c>
      <c r="O27" s="3" t="s">
        <v>88</v>
      </c>
      <c r="P27" s="3"/>
    </row>
    <row r="28" spans="1:16" x14ac:dyDescent="0.45">
      <c r="A28" s="4" t="s">
        <v>155</v>
      </c>
      <c r="B28" s="23"/>
      <c r="C28" s="23"/>
      <c r="D28" s="11"/>
      <c r="E28" s="24"/>
      <c r="F28" s="2">
        <v>9</v>
      </c>
      <c r="G28" s="19">
        <v>9</v>
      </c>
      <c r="H28" s="19">
        <v>9</v>
      </c>
      <c r="I28" s="19">
        <v>9</v>
      </c>
      <c r="J28" s="19">
        <v>9</v>
      </c>
      <c r="K28" s="19"/>
      <c r="L28" s="21"/>
      <c r="M28" s="21"/>
      <c r="N28" s="3" t="s">
        <v>57</v>
      </c>
      <c r="O28" s="3" t="s">
        <v>88</v>
      </c>
      <c r="P28" s="3"/>
    </row>
    <row r="29" spans="1:16" x14ac:dyDescent="0.45">
      <c r="A29" s="4" t="s">
        <v>156</v>
      </c>
      <c r="B29" s="23"/>
      <c r="C29" s="23"/>
      <c r="D29" s="11"/>
      <c r="E29" s="24"/>
      <c r="F29" s="2">
        <v>4</v>
      </c>
      <c r="G29" s="19">
        <v>4</v>
      </c>
      <c r="H29" s="19">
        <v>4</v>
      </c>
      <c r="I29" s="19">
        <v>4</v>
      </c>
      <c r="J29" s="19">
        <v>4</v>
      </c>
      <c r="K29" s="19"/>
      <c r="L29" s="21"/>
      <c r="M29" s="21"/>
      <c r="N29" s="3" t="s">
        <v>57</v>
      </c>
      <c r="O29" s="3" t="s">
        <v>88</v>
      </c>
      <c r="P29" s="3"/>
    </row>
    <row r="30" spans="1:16" x14ac:dyDescent="0.45">
      <c r="A30" s="4" t="s">
        <v>157</v>
      </c>
      <c r="B30" s="23"/>
      <c r="C30" s="23"/>
      <c r="D30" s="11"/>
      <c r="E30" s="24"/>
      <c r="F30" s="2">
        <v>2</v>
      </c>
      <c r="G30" s="19">
        <v>2</v>
      </c>
      <c r="H30" s="19">
        <v>2</v>
      </c>
      <c r="I30" s="19">
        <v>2</v>
      </c>
      <c r="J30" s="19">
        <v>2</v>
      </c>
      <c r="K30" s="19"/>
      <c r="L30" s="21"/>
      <c r="M30" s="21"/>
      <c r="N30" s="3" t="s">
        <v>57</v>
      </c>
      <c r="O30" s="3" t="s">
        <v>88</v>
      </c>
      <c r="P30" s="3"/>
    </row>
    <row r="31" spans="1:16" x14ac:dyDescent="0.45">
      <c r="A31" s="4" t="s">
        <v>158</v>
      </c>
      <c r="B31" s="23"/>
      <c r="C31" s="23"/>
      <c r="D31" s="11"/>
      <c r="E31" s="24"/>
      <c r="F31" s="2">
        <v>7</v>
      </c>
      <c r="G31" s="19">
        <v>7</v>
      </c>
      <c r="H31" s="19">
        <v>7</v>
      </c>
      <c r="I31" s="19">
        <v>7</v>
      </c>
      <c r="J31" s="19">
        <v>7</v>
      </c>
      <c r="K31" s="19"/>
      <c r="L31" s="21"/>
      <c r="M31" s="21"/>
      <c r="N31" s="3" t="s">
        <v>57</v>
      </c>
      <c r="O31" s="3" t="s">
        <v>88</v>
      </c>
      <c r="P31" s="3"/>
    </row>
    <row r="32" spans="1:16" x14ac:dyDescent="0.45">
      <c r="A32" s="4" t="s">
        <v>159</v>
      </c>
      <c r="B32" s="23"/>
      <c r="C32" s="23"/>
      <c r="D32" s="11"/>
      <c r="E32" s="24"/>
      <c r="F32" s="2">
        <v>3</v>
      </c>
      <c r="G32" s="19">
        <v>3</v>
      </c>
      <c r="H32" s="19">
        <v>3</v>
      </c>
      <c r="I32" s="19">
        <v>3</v>
      </c>
      <c r="J32" s="19">
        <v>3</v>
      </c>
      <c r="K32" s="19"/>
      <c r="L32" s="21"/>
      <c r="M32" s="21"/>
      <c r="N32" s="3" t="s">
        <v>57</v>
      </c>
      <c r="O32" s="3" t="s">
        <v>88</v>
      </c>
      <c r="P32" s="3"/>
    </row>
    <row r="33" spans="1:16" x14ac:dyDescent="0.45">
      <c r="A33" s="4" t="s">
        <v>160</v>
      </c>
      <c r="B33" s="23"/>
      <c r="C33" s="23"/>
      <c r="D33" s="11"/>
      <c r="E33" s="24"/>
      <c r="F33" s="2">
        <v>9</v>
      </c>
      <c r="G33" s="19">
        <v>9</v>
      </c>
      <c r="H33" s="19">
        <v>9</v>
      </c>
      <c r="I33" s="19">
        <v>9</v>
      </c>
      <c r="J33" s="19">
        <v>9</v>
      </c>
      <c r="K33" s="19"/>
      <c r="L33" s="21"/>
      <c r="M33" s="21"/>
      <c r="N33" s="3" t="s">
        <v>57</v>
      </c>
      <c r="O33" s="3" t="s">
        <v>88</v>
      </c>
      <c r="P33" s="3"/>
    </row>
    <row r="34" spans="1:16" x14ac:dyDescent="0.45">
      <c r="A34" s="4" t="s">
        <v>161</v>
      </c>
      <c r="B34" s="23"/>
      <c r="C34" s="23"/>
      <c r="D34" s="11"/>
      <c r="E34" s="24"/>
      <c r="F34" s="2">
        <v>4</v>
      </c>
      <c r="G34" s="19">
        <v>4</v>
      </c>
      <c r="H34" s="19">
        <v>4</v>
      </c>
      <c r="I34" s="19">
        <v>4</v>
      </c>
      <c r="J34" s="19">
        <v>4</v>
      </c>
      <c r="K34" s="19"/>
      <c r="L34" s="21"/>
      <c r="M34" s="21"/>
      <c r="N34" s="3" t="s">
        <v>57</v>
      </c>
      <c r="O34" s="3" t="s">
        <v>88</v>
      </c>
      <c r="P34" s="3"/>
    </row>
    <row r="35" spans="1:16" x14ac:dyDescent="0.45">
      <c r="A35" s="4" t="s">
        <v>162</v>
      </c>
      <c r="B35" s="23"/>
      <c r="C35" s="23"/>
      <c r="D35" s="11"/>
      <c r="E35" s="24"/>
      <c r="F35" s="2">
        <v>2</v>
      </c>
      <c r="G35" s="19">
        <v>2</v>
      </c>
      <c r="H35" s="19">
        <v>2</v>
      </c>
      <c r="I35" s="19">
        <v>2</v>
      </c>
      <c r="J35" s="19">
        <v>2</v>
      </c>
      <c r="K35" s="19"/>
      <c r="L35" s="21"/>
      <c r="M35" s="21"/>
      <c r="N35" s="3" t="s">
        <v>57</v>
      </c>
      <c r="O35" s="3" t="s">
        <v>88</v>
      </c>
      <c r="P35" s="3"/>
    </row>
    <row r="36" spans="1:16" x14ac:dyDescent="0.45">
      <c r="A36" s="4" t="s">
        <v>163</v>
      </c>
      <c r="B36" s="23"/>
      <c r="C36" s="23"/>
      <c r="D36" s="11"/>
      <c r="E36" s="24"/>
      <c r="F36" s="2">
        <v>2</v>
      </c>
      <c r="G36" s="19">
        <v>2</v>
      </c>
      <c r="H36" s="19">
        <v>2</v>
      </c>
      <c r="I36" s="19">
        <v>2</v>
      </c>
      <c r="J36" s="19">
        <v>2</v>
      </c>
      <c r="K36" s="19"/>
      <c r="L36" s="21"/>
      <c r="M36" s="21"/>
      <c r="N36" s="3" t="s">
        <v>57</v>
      </c>
      <c r="O36" s="3" t="s">
        <v>88</v>
      </c>
      <c r="P36" s="3"/>
    </row>
    <row r="37" spans="1:16" x14ac:dyDescent="0.45">
      <c r="A37" s="4" t="s">
        <v>164</v>
      </c>
      <c r="B37" s="23"/>
      <c r="C37" s="23"/>
      <c r="D37" s="11"/>
      <c r="E37" s="24"/>
      <c r="F37" s="2">
        <v>10</v>
      </c>
      <c r="G37" s="19">
        <v>10</v>
      </c>
      <c r="H37" s="19">
        <v>10</v>
      </c>
      <c r="I37" s="19">
        <v>10</v>
      </c>
      <c r="J37" s="19">
        <v>10</v>
      </c>
      <c r="K37" s="19"/>
      <c r="L37" s="21"/>
      <c r="M37" s="21"/>
      <c r="N37" s="3" t="s">
        <v>57</v>
      </c>
      <c r="O37" s="3" t="s">
        <v>88</v>
      </c>
      <c r="P37" s="3"/>
    </row>
    <row r="38" spans="1:16" x14ac:dyDescent="0.45">
      <c r="A38" s="4" t="s">
        <v>165</v>
      </c>
      <c r="B38" s="23"/>
      <c r="C38" s="23"/>
      <c r="D38" s="11"/>
      <c r="E38" s="24"/>
      <c r="F38" s="2">
        <v>1</v>
      </c>
      <c r="G38" s="19">
        <v>1</v>
      </c>
      <c r="H38" s="19">
        <v>1</v>
      </c>
      <c r="I38" s="19">
        <v>1</v>
      </c>
      <c r="J38" s="19">
        <v>1</v>
      </c>
      <c r="K38" s="19"/>
      <c r="L38" s="21"/>
      <c r="M38" s="21"/>
      <c r="N38" s="3" t="s">
        <v>57</v>
      </c>
      <c r="O38" s="3" t="s">
        <v>88</v>
      </c>
      <c r="P38" s="3"/>
    </row>
    <row r="39" spans="1:16" x14ac:dyDescent="0.45">
      <c r="A39" s="4" t="s">
        <v>89</v>
      </c>
      <c r="B39" s="23">
        <v>10</v>
      </c>
      <c r="C39" s="23" t="s">
        <v>57</v>
      </c>
      <c r="D39" s="11"/>
      <c r="E39" s="24"/>
      <c r="F39" s="19">
        <v>8</v>
      </c>
      <c r="G39" s="19">
        <v>8</v>
      </c>
      <c r="H39" s="19">
        <v>8</v>
      </c>
      <c r="I39" s="19">
        <v>8</v>
      </c>
      <c r="J39" s="19">
        <v>8</v>
      </c>
      <c r="K39" s="19"/>
      <c r="L39" s="21"/>
      <c r="M39" s="21"/>
      <c r="N39" s="3" t="s">
        <v>57</v>
      </c>
      <c r="O39" s="3" t="s">
        <v>88</v>
      </c>
      <c r="P39" s="3"/>
    </row>
    <row r="40" spans="1:16" x14ac:dyDescent="0.45">
      <c r="A40" s="4" t="s">
        <v>90</v>
      </c>
      <c r="B40" s="23">
        <v>7</v>
      </c>
      <c r="C40" s="23" t="s">
        <v>57</v>
      </c>
      <c r="D40" s="11"/>
      <c r="E40" s="24"/>
      <c r="F40" s="19">
        <v>7</v>
      </c>
      <c r="G40" s="19">
        <v>7</v>
      </c>
      <c r="H40" s="19">
        <v>7</v>
      </c>
      <c r="I40" s="19">
        <v>7</v>
      </c>
      <c r="J40" s="19">
        <v>7</v>
      </c>
      <c r="K40" s="19"/>
      <c r="L40" s="21"/>
      <c r="M40" s="21"/>
      <c r="N40" s="3" t="s">
        <v>57</v>
      </c>
      <c r="O40" s="3" t="s">
        <v>88</v>
      </c>
      <c r="P40" s="3"/>
    </row>
    <row r="41" spans="1:16" x14ac:dyDescent="0.45">
      <c r="A41" s="4" t="s">
        <v>91</v>
      </c>
      <c r="B41" s="23">
        <v>9</v>
      </c>
      <c r="C41" s="23" t="s">
        <v>57</v>
      </c>
      <c r="D41" s="11"/>
      <c r="E41" s="24"/>
      <c r="F41" s="19">
        <v>9</v>
      </c>
      <c r="G41" s="19">
        <v>9</v>
      </c>
      <c r="H41" s="19">
        <v>9</v>
      </c>
      <c r="I41" s="19">
        <v>9</v>
      </c>
      <c r="J41" s="19">
        <v>9</v>
      </c>
      <c r="K41" s="19"/>
      <c r="L41" s="21"/>
      <c r="M41" s="21"/>
      <c r="N41" s="3" t="s">
        <v>57</v>
      </c>
      <c r="O41" s="3" t="s">
        <v>88</v>
      </c>
      <c r="P41" s="3"/>
    </row>
    <row r="42" spans="1:16" x14ac:dyDescent="0.45">
      <c r="A42" s="4" t="s">
        <v>92</v>
      </c>
      <c r="B42" s="23">
        <v>5</v>
      </c>
      <c r="C42" s="23" t="s">
        <v>57</v>
      </c>
      <c r="D42" s="11"/>
      <c r="E42" s="24"/>
      <c r="F42" s="19">
        <v>7</v>
      </c>
      <c r="G42" s="19">
        <v>7</v>
      </c>
      <c r="H42" s="19">
        <v>7</v>
      </c>
      <c r="I42" s="19">
        <v>7</v>
      </c>
      <c r="J42" s="19">
        <v>7</v>
      </c>
      <c r="K42" s="19"/>
      <c r="L42" s="21"/>
      <c r="M42" s="21"/>
      <c r="N42" s="3" t="s">
        <v>57</v>
      </c>
      <c r="O42" s="3" t="s">
        <v>88</v>
      </c>
      <c r="P42" s="3"/>
    </row>
    <row r="43" spans="1:16" x14ac:dyDescent="0.45">
      <c r="A43" s="4" t="s">
        <v>93</v>
      </c>
      <c r="B43" s="23">
        <v>1</v>
      </c>
      <c r="C43" s="23" t="s">
        <v>57</v>
      </c>
      <c r="D43" s="11"/>
      <c r="E43" s="24"/>
      <c r="F43" s="19">
        <v>2</v>
      </c>
      <c r="G43" s="19">
        <v>2</v>
      </c>
      <c r="H43" s="19">
        <v>2</v>
      </c>
      <c r="I43" s="19">
        <v>2</v>
      </c>
      <c r="J43" s="19">
        <v>2</v>
      </c>
      <c r="K43" s="19"/>
      <c r="L43" s="21"/>
      <c r="M43" s="21"/>
      <c r="N43" s="3" t="s">
        <v>57</v>
      </c>
      <c r="O43" s="3" t="s">
        <v>88</v>
      </c>
      <c r="P43" s="3"/>
    </row>
    <row r="44" spans="1:16" x14ac:dyDescent="0.45">
      <c r="A44" s="4" t="s">
        <v>94</v>
      </c>
      <c r="B44" s="23">
        <v>6</v>
      </c>
      <c r="C44" s="23" t="s">
        <v>57</v>
      </c>
      <c r="D44" s="11"/>
      <c r="E44" s="24"/>
      <c r="F44" s="19">
        <v>7</v>
      </c>
      <c r="G44" s="19">
        <v>7</v>
      </c>
      <c r="H44" s="19">
        <v>7</v>
      </c>
      <c r="I44" s="19">
        <v>7</v>
      </c>
      <c r="J44" s="19">
        <v>7</v>
      </c>
      <c r="K44" s="19"/>
      <c r="L44" s="21"/>
      <c r="M44" s="21"/>
      <c r="N44" s="3" t="s">
        <v>57</v>
      </c>
      <c r="O44" s="3" t="s">
        <v>88</v>
      </c>
      <c r="P44" s="3"/>
    </row>
    <row r="45" spans="1:16" x14ac:dyDescent="0.45">
      <c r="A45" s="4" t="s">
        <v>97</v>
      </c>
      <c r="B45" s="23">
        <v>8</v>
      </c>
      <c r="C45" s="23" t="s">
        <v>57</v>
      </c>
      <c r="D45" s="11"/>
      <c r="E45" s="24"/>
      <c r="F45" s="19">
        <v>8</v>
      </c>
      <c r="G45" s="19">
        <v>8</v>
      </c>
      <c r="H45" s="19">
        <v>8</v>
      </c>
      <c r="I45" s="19">
        <v>8</v>
      </c>
      <c r="J45" s="19">
        <v>8</v>
      </c>
      <c r="K45" s="19"/>
      <c r="L45" s="21"/>
      <c r="M45" s="21"/>
      <c r="N45" s="3" t="s">
        <v>57</v>
      </c>
      <c r="O45" s="3" t="s">
        <v>88</v>
      </c>
      <c r="P45" s="3"/>
    </row>
    <row r="46" spans="1:16" x14ac:dyDescent="0.45">
      <c r="A46" s="4" t="s">
        <v>95</v>
      </c>
      <c r="B46" s="23">
        <v>2</v>
      </c>
      <c r="C46" s="23" t="s">
        <v>57</v>
      </c>
      <c r="D46" s="11"/>
      <c r="E46" s="24"/>
      <c r="F46" s="19">
        <v>9</v>
      </c>
      <c r="G46" s="19">
        <v>9</v>
      </c>
      <c r="H46" s="19">
        <v>9</v>
      </c>
      <c r="I46" s="19">
        <v>9</v>
      </c>
      <c r="J46" s="19">
        <v>9</v>
      </c>
      <c r="K46" s="19"/>
      <c r="L46" s="21"/>
      <c r="M46" s="21"/>
      <c r="N46" s="3" t="s">
        <v>57</v>
      </c>
      <c r="O46" s="3" t="s">
        <v>88</v>
      </c>
      <c r="P46" s="3"/>
    </row>
    <row r="47" spans="1:16" x14ac:dyDescent="0.45">
      <c r="A47" s="4" t="s">
        <v>96</v>
      </c>
      <c r="B47" s="23">
        <v>4</v>
      </c>
      <c r="C47" s="23" t="s">
        <v>57</v>
      </c>
      <c r="D47" s="11"/>
      <c r="E47" s="24"/>
      <c r="F47" s="19">
        <v>4</v>
      </c>
      <c r="G47" s="19">
        <v>4</v>
      </c>
      <c r="H47" s="19">
        <v>4</v>
      </c>
      <c r="I47" s="19">
        <v>4</v>
      </c>
      <c r="J47" s="19">
        <v>4</v>
      </c>
      <c r="K47" s="19"/>
      <c r="L47" s="21"/>
      <c r="M47" s="21"/>
      <c r="N47" s="3" t="s">
        <v>57</v>
      </c>
      <c r="O47" s="3" t="s">
        <v>88</v>
      </c>
      <c r="P47" s="3"/>
    </row>
    <row r="48" spans="1:16" x14ac:dyDescent="0.45">
      <c r="A48" s="4" t="s">
        <v>98</v>
      </c>
      <c r="B48" s="23">
        <v>2</v>
      </c>
      <c r="C48" s="23" t="s">
        <v>57</v>
      </c>
      <c r="D48" s="11"/>
      <c r="E48" s="24"/>
      <c r="F48" s="19">
        <v>2</v>
      </c>
      <c r="G48" s="19">
        <v>2</v>
      </c>
      <c r="H48" s="19">
        <v>2</v>
      </c>
      <c r="I48" s="19">
        <v>2</v>
      </c>
      <c r="J48" s="19">
        <v>2</v>
      </c>
      <c r="K48" s="19"/>
      <c r="L48" s="21"/>
      <c r="M48" s="21"/>
      <c r="N48" s="3" t="s">
        <v>57</v>
      </c>
      <c r="O48" s="3" t="s">
        <v>88</v>
      </c>
      <c r="P48" s="3"/>
    </row>
    <row r="49" spans="1:16" x14ac:dyDescent="0.45">
      <c r="A49" s="4" t="s">
        <v>99</v>
      </c>
      <c r="B49" s="23">
        <v>1</v>
      </c>
      <c r="C49" s="23" t="s">
        <v>57</v>
      </c>
      <c r="D49" s="11"/>
      <c r="E49" s="24"/>
      <c r="F49" s="19">
        <v>4</v>
      </c>
      <c r="G49" s="19">
        <v>4</v>
      </c>
      <c r="H49" s="19">
        <v>4</v>
      </c>
      <c r="I49" s="19">
        <v>4</v>
      </c>
      <c r="J49" s="19">
        <v>4</v>
      </c>
      <c r="K49" s="19"/>
      <c r="L49" s="21"/>
      <c r="M49" s="21"/>
      <c r="N49" s="3" t="s">
        <v>57</v>
      </c>
      <c r="O49" s="3" t="s">
        <v>88</v>
      </c>
      <c r="P49" s="3"/>
    </row>
    <row r="50" spans="1:16" x14ac:dyDescent="0.45">
      <c r="A50" s="4" t="s">
        <v>141</v>
      </c>
      <c r="B50" s="23"/>
      <c r="C50" s="23"/>
      <c r="D50" s="11"/>
      <c r="E50" s="24"/>
      <c r="F50" s="19">
        <v>7</v>
      </c>
      <c r="G50" s="19">
        <v>7</v>
      </c>
      <c r="H50" s="19">
        <v>7</v>
      </c>
      <c r="I50" s="19">
        <v>7</v>
      </c>
      <c r="J50" s="19">
        <v>7</v>
      </c>
      <c r="K50" s="19"/>
      <c r="L50" s="21"/>
      <c r="M50" s="21"/>
      <c r="N50" s="3" t="s">
        <v>57</v>
      </c>
      <c r="O50" s="3" t="s">
        <v>88</v>
      </c>
      <c r="P50" s="3"/>
    </row>
    <row r="51" spans="1:16" x14ac:dyDescent="0.45">
      <c r="A51" s="4" t="s">
        <v>112</v>
      </c>
      <c r="B51" s="23">
        <v>1</v>
      </c>
      <c r="C51" s="23" t="s">
        <v>57</v>
      </c>
      <c r="D51" s="11"/>
      <c r="E51" s="24"/>
      <c r="F51" s="19">
        <v>1</v>
      </c>
      <c r="G51" s="19">
        <v>1</v>
      </c>
      <c r="H51" s="19">
        <v>1</v>
      </c>
      <c r="I51" s="19">
        <v>1</v>
      </c>
      <c r="J51" s="19">
        <v>1</v>
      </c>
      <c r="K51" s="19"/>
      <c r="L51" s="21"/>
      <c r="M51" s="21"/>
      <c r="N51" s="3" t="s">
        <v>57</v>
      </c>
      <c r="O51" s="3" t="s">
        <v>88</v>
      </c>
      <c r="P51" s="3"/>
    </row>
    <row r="52" spans="1:16" x14ac:dyDescent="0.45">
      <c r="A52" s="4" t="s">
        <v>100</v>
      </c>
      <c r="B52" s="23">
        <v>4</v>
      </c>
      <c r="C52" s="23" t="s">
        <v>57</v>
      </c>
      <c r="D52" s="11"/>
      <c r="E52" s="24"/>
      <c r="F52" s="19">
        <v>6</v>
      </c>
      <c r="G52" s="19">
        <v>6</v>
      </c>
      <c r="H52" s="19">
        <v>6</v>
      </c>
      <c r="I52" s="19">
        <v>6</v>
      </c>
      <c r="J52" s="19">
        <v>6</v>
      </c>
      <c r="K52" s="19"/>
      <c r="L52" s="21"/>
      <c r="M52" s="21"/>
      <c r="N52" s="3" t="s">
        <v>57</v>
      </c>
      <c r="O52" s="3" t="s">
        <v>88</v>
      </c>
      <c r="P52" s="3"/>
    </row>
    <row r="53" spans="1:16" x14ac:dyDescent="0.45">
      <c r="A53" s="4" t="s">
        <v>101</v>
      </c>
      <c r="B53" s="23">
        <v>7</v>
      </c>
      <c r="C53" s="23" t="s">
        <v>57</v>
      </c>
      <c r="D53" s="11"/>
      <c r="E53" s="24"/>
      <c r="F53" s="19">
        <v>7</v>
      </c>
      <c r="G53" s="19">
        <v>7</v>
      </c>
      <c r="H53" s="19">
        <v>7</v>
      </c>
      <c r="I53" s="19">
        <v>7</v>
      </c>
      <c r="J53" s="19">
        <v>7</v>
      </c>
      <c r="K53" s="19"/>
      <c r="L53" s="21"/>
      <c r="M53" s="21"/>
      <c r="N53" s="3" t="s">
        <v>57</v>
      </c>
      <c r="O53" s="3" t="s">
        <v>88</v>
      </c>
      <c r="P53" s="3"/>
    </row>
    <row r="54" spans="1:16" x14ac:dyDescent="0.45">
      <c r="A54" s="4" t="s">
        <v>102</v>
      </c>
      <c r="B54" s="23">
        <v>6</v>
      </c>
      <c r="C54" s="23" t="s">
        <v>57</v>
      </c>
      <c r="D54" s="11"/>
      <c r="E54" s="24"/>
      <c r="F54" s="19">
        <v>7</v>
      </c>
      <c r="G54" s="19">
        <v>7</v>
      </c>
      <c r="H54" s="19">
        <v>7</v>
      </c>
      <c r="I54" s="19">
        <v>7</v>
      </c>
      <c r="J54" s="19">
        <v>7</v>
      </c>
      <c r="K54" s="19"/>
      <c r="L54" s="21"/>
      <c r="M54" s="21"/>
      <c r="N54" s="3" t="s">
        <v>57</v>
      </c>
      <c r="O54" s="3" t="s">
        <v>88</v>
      </c>
      <c r="P54" s="3"/>
    </row>
    <row r="55" spans="1:16" x14ac:dyDescent="0.45">
      <c r="A55" s="4" t="s">
        <v>103</v>
      </c>
      <c r="B55" s="23">
        <v>3</v>
      </c>
      <c r="C55" s="23" t="s">
        <v>57</v>
      </c>
      <c r="D55" s="11"/>
      <c r="E55" s="24"/>
      <c r="F55" s="19">
        <v>4</v>
      </c>
      <c r="G55" s="19">
        <v>4</v>
      </c>
      <c r="H55" s="19">
        <v>4</v>
      </c>
      <c r="I55" s="19">
        <v>4</v>
      </c>
      <c r="J55" s="19">
        <v>4</v>
      </c>
      <c r="K55" s="19"/>
      <c r="L55" s="21"/>
      <c r="M55" s="21"/>
      <c r="N55" s="3" t="s">
        <v>57</v>
      </c>
      <c r="O55" s="3" t="s">
        <v>88</v>
      </c>
      <c r="P55" s="3"/>
    </row>
    <row r="56" spans="1:16" x14ac:dyDescent="0.45">
      <c r="A56" s="4" t="s">
        <v>104</v>
      </c>
      <c r="B56" s="23">
        <v>2</v>
      </c>
      <c r="C56" s="23" t="s">
        <v>57</v>
      </c>
      <c r="D56" s="11"/>
      <c r="E56" s="24"/>
      <c r="F56" s="19">
        <v>7</v>
      </c>
      <c r="G56" s="19">
        <v>7</v>
      </c>
      <c r="H56" s="19">
        <v>7</v>
      </c>
      <c r="I56" s="19">
        <v>7</v>
      </c>
      <c r="J56" s="19">
        <v>7</v>
      </c>
      <c r="K56" s="19"/>
      <c r="L56" s="21"/>
      <c r="M56" s="21"/>
      <c r="N56" s="3" t="s">
        <v>57</v>
      </c>
      <c r="O56" s="3" t="s">
        <v>88</v>
      </c>
      <c r="P56" s="3"/>
    </row>
    <row r="57" spans="1:16" x14ac:dyDescent="0.45">
      <c r="A57" s="4" t="s">
        <v>105</v>
      </c>
      <c r="B57" s="23">
        <v>4</v>
      </c>
      <c r="C57" s="23" t="s">
        <v>57</v>
      </c>
      <c r="D57" s="11"/>
      <c r="E57" s="24"/>
      <c r="F57" s="19">
        <v>7</v>
      </c>
      <c r="G57" s="19">
        <v>7</v>
      </c>
      <c r="H57" s="19">
        <v>7</v>
      </c>
      <c r="I57" s="19">
        <v>7</v>
      </c>
      <c r="J57" s="19">
        <v>7</v>
      </c>
      <c r="K57" s="19"/>
      <c r="L57" s="21"/>
      <c r="M57" s="21"/>
      <c r="N57" s="3" t="s">
        <v>57</v>
      </c>
      <c r="O57" s="3" t="s">
        <v>88</v>
      </c>
      <c r="P57" s="3"/>
    </row>
    <row r="58" spans="1:16" x14ac:dyDescent="0.45">
      <c r="A58" s="4" t="s">
        <v>106</v>
      </c>
      <c r="B58" s="23">
        <v>7</v>
      </c>
      <c r="C58" s="23" t="s">
        <v>57</v>
      </c>
      <c r="D58" s="11"/>
      <c r="E58" s="24"/>
      <c r="F58" s="19">
        <v>6</v>
      </c>
      <c r="G58" s="19">
        <v>6</v>
      </c>
      <c r="H58" s="19">
        <v>6</v>
      </c>
      <c r="I58" s="19">
        <v>6</v>
      </c>
      <c r="J58" s="19">
        <v>6</v>
      </c>
      <c r="K58" s="19"/>
      <c r="L58" s="21"/>
      <c r="M58" s="21"/>
      <c r="N58" s="3" t="s">
        <v>57</v>
      </c>
      <c r="O58" s="3" t="s">
        <v>88</v>
      </c>
      <c r="P58" s="3"/>
    </row>
    <row r="59" spans="1:16" x14ac:dyDescent="0.45">
      <c r="A59" s="4" t="s">
        <v>107</v>
      </c>
      <c r="B59" s="23">
        <v>2</v>
      </c>
      <c r="C59" s="23" t="s">
        <v>57</v>
      </c>
      <c r="D59" s="11"/>
      <c r="E59" s="24"/>
      <c r="F59" s="19">
        <v>6</v>
      </c>
      <c r="G59" s="19">
        <v>6</v>
      </c>
      <c r="H59" s="19">
        <v>6</v>
      </c>
      <c r="I59" s="19">
        <v>6</v>
      </c>
      <c r="J59" s="19">
        <v>6</v>
      </c>
      <c r="K59" s="19"/>
      <c r="L59" s="21"/>
      <c r="M59" s="21"/>
      <c r="N59" s="3" t="s">
        <v>57</v>
      </c>
      <c r="O59" s="3" t="s">
        <v>88</v>
      </c>
      <c r="P59" s="3"/>
    </row>
    <row r="60" spans="1:16" x14ac:dyDescent="0.45">
      <c r="A60" s="4" t="s">
        <v>108</v>
      </c>
      <c r="B60" s="23">
        <v>4</v>
      </c>
      <c r="C60" s="23" t="s">
        <v>57</v>
      </c>
      <c r="D60" s="11"/>
      <c r="E60" s="24"/>
      <c r="F60" s="19">
        <v>4</v>
      </c>
      <c r="G60" s="19">
        <v>4</v>
      </c>
      <c r="H60" s="19">
        <v>4</v>
      </c>
      <c r="I60" s="19">
        <v>4</v>
      </c>
      <c r="J60" s="19">
        <v>4</v>
      </c>
      <c r="K60" s="19"/>
      <c r="L60" s="21"/>
      <c r="M60" s="21"/>
      <c r="N60" s="3" t="s">
        <v>57</v>
      </c>
      <c r="O60" s="3" t="s">
        <v>88</v>
      </c>
      <c r="P60" s="3"/>
    </row>
    <row r="61" spans="1:16" x14ac:dyDescent="0.45">
      <c r="A61" s="4" t="s">
        <v>109</v>
      </c>
      <c r="B61" s="23">
        <v>8</v>
      </c>
      <c r="C61" s="23" t="s">
        <v>57</v>
      </c>
      <c r="D61" s="11"/>
      <c r="E61" s="24"/>
      <c r="F61" s="19">
        <v>7</v>
      </c>
      <c r="G61" s="19">
        <v>7</v>
      </c>
      <c r="H61" s="19">
        <v>7</v>
      </c>
      <c r="I61" s="19">
        <v>7</v>
      </c>
      <c r="J61" s="19">
        <v>7</v>
      </c>
      <c r="K61" s="19"/>
      <c r="L61" s="21"/>
      <c r="M61" s="21"/>
      <c r="N61" s="3" t="s">
        <v>57</v>
      </c>
      <c r="O61" s="3" t="s">
        <v>88</v>
      </c>
      <c r="P61" s="3"/>
    </row>
    <row r="62" spans="1:16" x14ac:dyDescent="0.45">
      <c r="A62" s="4" t="s">
        <v>110</v>
      </c>
      <c r="B62" s="23">
        <v>1</v>
      </c>
      <c r="C62" s="23" t="s">
        <v>57</v>
      </c>
      <c r="D62" s="11"/>
      <c r="E62" s="24"/>
      <c r="F62" s="19">
        <v>4</v>
      </c>
      <c r="G62" s="19">
        <v>4</v>
      </c>
      <c r="H62" s="19">
        <v>4</v>
      </c>
      <c r="I62" s="19">
        <v>4</v>
      </c>
      <c r="J62" s="19">
        <v>4</v>
      </c>
      <c r="K62" s="19"/>
      <c r="L62" s="21"/>
      <c r="M62" s="21"/>
      <c r="N62" s="3" t="s">
        <v>57</v>
      </c>
      <c r="O62" s="3" t="s">
        <v>88</v>
      </c>
      <c r="P62" s="3"/>
    </row>
    <row r="63" spans="1:16" x14ac:dyDescent="0.45">
      <c r="A63" s="4" t="s">
        <v>125</v>
      </c>
      <c r="B63" s="23" t="s">
        <v>126</v>
      </c>
      <c r="C63" s="23"/>
      <c r="D63" s="11"/>
      <c r="E63" s="24"/>
      <c r="F63" s="19">
        <v>1</v>
      </c>
      <c r="G63" s="19">
        <v>1</v>
      </c>
      <c r="H63" s="19">
        <v>1</v>
      </c>
      <c r="I63" s="19">
        <v>1</v>
      </c>
      <c r="J63" s="19">
        <v>1</v>
      </c>
      <c r="K63" s="19"/>
      <c r="L63" s="21"/>
      <c r="M63" s="21"/>
      <c r="N63" s="3" t="s">
        <v>57</v>
      </c>
      <c r="O63" s="3" t="s">
        <v>88</v>
      </c>
      <c r="P63" s="3"/>
    </row>
    <row r="64" spans="1:16" x14ac:dyDescent="0.45">
      <c r="A64" s="4" t="s">
        <v>142</v>
      </c>
      <c r="B64" s="23"/>
      <c r="C64" s="23"/>
      <c r="D64" s="11"/>
      <c r="E64" s="24"/>
      <c r="F64" s="19">
        <v>5</v>
      </c>
      <c r="G64" s="19">
        <v>5</v>
      </c>
      <c r="H64" s="19">
        <v>5</v>
      </c>
      <c r="I64" s="19">
        <v>5</v>
      </c>
      <c r="J64" s="19">
        <v>5</v>
      </c>
      <c r="K64" s="19"/>
      <c r="L64" s="21"/>
      <c r="M64" s="21"/>
      <c r="N64" s="3" t="s">
        <v>57</v>
      </c>
      <c r="O64" s="3" t="s">
        <v>88</v>
      </c>
      <c r="P64" s="3"/>
    </row>
    <row r="65" spans="1:16" x14ac:dyDescent="0.45">
      <c r="A65" s="4" t="s">
        <v>113</v>
      </c>
      <c r="B65" s="23">
        <v>2</v>
      </c>
      <c r="C65" s="23" t="s">
        <v>57</v>
      </c>
      <c r="D65" s="11"/>
      <c r="E65" s="24"/>
      <c r="F65" s="19">
        <v>5</v>
      </c>
      <c r="G65" s="19">
        <v>5</v>
      </c>
      <c r="H65" s="19">
        <v>5</v>
      </c>
      <c r="I65" s="19">
        <v>5</v>
      </c>
      <c r="J65" s="19">
        <v>5</v>
      </c>
      <c r="K65" s="19"/>
      <c r="L65" s="21"/>
      <c r="M65" s="21"/>
      <c r="N65" s="3" t="s">
        <v>57</v>
      </c>
      <c r="O65" s="3" t="s">
        <v>88</v>
      </c>
      <c r="P65" s="3"/>
    </row>
    <row r="66" spans="1:16" x14ac:dyDescent="0.45">
      <c r="A66" s="4" t="s">
        <v>114</v>
      </c>
      <c r="B66" s="23">
        <v>5</v>
      </c>
      <c r="C66" s="23" t="s">
        <v>57</v>
      </c>
      <c r="D66" s="11"/>
      <c r="E66" s="24"/>
      <c r="F66" s="19">
        <v>7</v>
      </c>
      <c r="G66" s="19">
        <v>7</v>
      </c>
      <c r="H66" s="19">
        <v>7</v>
      </c>
      <c r="I66" s="19">
        <v>7</v>
      </c>
      <c r="J66" s="19">
        <v>7</v>
      </c>
      <c r="K66" s="19"/>
      <c r="L66" s="21"/>
      <c r="M66" s="21"/>
      <c r="N66" s="3" t="s">
        <v>57</v>
      </c>
      <c r="O66" s="3" t="s">
        <v>88</v>
      </c>
      <c r="P66" s="3"/>
    </row>
    <row r="67" spans="1:16" x14ac:dyDescent="0.45">
      <c r="A67" s="4" t="s">
        <v>115</v>
      </c>
      <c r="B67" s="23">
        <v>5</v>
      </c>
      <c r="C67" s="23" t="s">
        <v>57</v>
      </c>
      <c r="D67" s="11"/>
      <c r="E67" s="24"/>
      <c r="F67" s="19">
        <v>2</v>
      </c>
      <c r="G67" s="19">
        <v>2</v>
      </c>
      <c r="H67" s="19">
        <v>2</v>
      </c>
      <c r="I67" s="19">
        <v>2</v>
      </c>
      <c r="J67" s="19">
        <v>2</v>
      </c>
      <c r="K67" s="19"/>
      <c r="L67" s="21"/>
      <c r="M67" s="21"/>
      <c r="N67" s="3" t="s">
        <v>57</v>
      </c>
      <c r="O67" s="3" t="s">
        <v>88</v>
      </c>
      <c r="P67" s="3"/>
    </row>
    <row r="68" spans="1:16" x14ac:dyDescent="0.45">
      <c r="A68" s="4" t="s">
        <v>116</v>
      </c>
      <c r="B68" s="23">
        <v>2</v>
      </c>
      <c r="C68" s="23" t="s">
        <v>57</v>
      </c>
      <c r="D68" s="11"/>
      <c r="E68" s="24"/>
      <c r="F68" s="19">
        <v>7</v>
      </c>
      <c r="G68" s="19">
        <v>7</v>
      </c>
      <c r="H68" s="19">
        <v>7</v>
      </c>
      <c r="I68" s="19">
        <v>7</v>
      </c>
      <c r="J68" s="19">
        <v>7</v>
      </c>
      <c r="K68" s="19"/>
      <c r="L68" s="21"/>
      <c r="M68" s="21"/>
      <c r="N68" s="3" t="s">
        <v>57</v>
      </c>
      <c r="O68" s="3" t="s">
        <v>88</v>
      </c>
      <c r="P68" s="3"/>
    </row>
    <row r="69" spans="1:16" x14ac:dyDescent="0.45">
      <c r="A69" s="4" t="s">
        <v>117</v>
      </c>
      <c r="B69" s="23">
        <v>5</v>
      </c>
      <c r="C69" s="23" t="s">
        <v>57</v>
      </c>
      <c r="D69" s="11"/>
      <c r="E69" s="24"/>
      <c r="F69" s="19">
        <v>9</v>
      </c>
      <c r="G69" s="19">
        <v>9</v>
      </c>
      <c r="H69" s="19">
        <v>9</v>
      </c>
      <c r="I69" s="19">
        <v>9</v>
      </c>
      <c r="J69" s="19">
        <v>9</v>
      </c>
      <c r="K69" s="19"/>
      <c r="L69" s="21"/>
      <c r="M69" s="21"/>
      <c r="N69" s="3" t="s">
        <v>57</v>
      </c>
      <c r="O69" s="3" t="s">
        <v>88</v>
      </c>
      <c r="P69" s="3"/>
    </row>
    <row r="70" spans="1:16" x14ac:dyDescent="0.45">
      <c r="A70" s="4" t="s">
        <v>118</v>
      </c>
      <c r="B70" s="23">
        <v>6</v>
      </c>
      <c r="C70" s="23" t="s">
        <v>57</v>
      </c>
      <c r="D70" s="11"/>
      <c r="E70" s="24"/>
      <c r="F70" s="19">
        <v>6</v>
      </c>
      <c r="G70" s="19">
        <v>6</v>
      </c>
      <c r="H70" s="19">
        <v>6</v>
      </c>
      <c r="I70" s="19">
        <v>6</v>
      </c>
      <c r="J70" s="19">
        <v>6</v>
      </c>
      <c r="K70" s="19"/>
      <c r="L70" s="21"/>
      <c r="M70" s="21"/>
      <c r="N70" s="3" t="s">
        <v>57</v>
      </c>
      <c r="O70" s="3" t="s">
        <v>88</v>
      </c>
      <c r="P70" s="3"/>
    </row>
    <row r="71" spans="1:16" x14ac:dyDescent="0.45">
      <c r="A71" s="4" t="s">
        <v>119</v>
      </c>
      <c r="B71" s="23">
        <v>3</v>
      </c>
      <c r="C71" s="23" t="s">
        <v>57</v>
      </c>
      <c r="D71" s="11"/>
      <c r="E71" s="24"/>
      <c r="F71" s="19">
        <v>5</v>
      </c>
      <c r="G71" s="19">
        <v>5</v>
      </c>
      <c r="H71" s="19">
        <v>5</v>
      </c>
      <c r="I71" s="19">
        <v>5</v>
      </c>
      <c r="J71" s="19">
        <v>5</v>
      </c>
      <c r="K71" s="19"/>
      <c r="L71" s="21"/>
      <c r="M71" s="21"/>
      <c r="N71" s="3" t="s">
        <v>57</v>
      </c>
      <c r="O71" s="3" t="s">
        <v>88</v>
      </c>
      <c r="P71" s="3"/>
    </row>
    <row r="72" spans="1:16" x14ac:dyDescent="0.45">
      <c r="A72" s="4" t="s">
        <v>120</v>
      </c>
      <c r="B72" s="23">
        <v>1</v>
      </c>
      <c r="C72" s="23" t="s">
        <v>57</v>
      </c>
      <c r="D72" s="11"/>
      <c r="E72" s="24"/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/>
      <c r="L72" s="21"/>
      <c r="M72" s="21"/>
      <c r="N72" s="3" t="s">
        <v>57</v>
      </c>
      <c r="O72" s="3" t="s">
        <v>88</v>
      </c>
      <c r="P72" s="3"/>
    </row>
    <row r="73" spans="1:16" x14ac:dyDescent="0.45">
      <c r="A73" s="4" t="s">
        <v>121</v>
      </c>
      <c r="B73" s="23">
        <v>4</v>
      </c>
      <c r="C73" s="23" t="s">
        <v>57</v>
      </c>
      <c r="D73" s="11"/>
      <c r="E73" s="24"/>
      <c r="F73" s="19">
        <v>4</v>
      </c>
      <c r="G73" s="19">
        <v>4</v>
      </c>
      <c r="H73" s="19">
        <v>4</v>
      </c>
      <c r="I73" s="19">
        <v>4</v>
      </c>
      <c r="J73" s="19">
        <v>4</v>
      </c>
      <c r="K73" s="19"/>
      <c r="L73" s="21"/>
      <c r="M73" s="21"/>
      <c r="N73" s="3" t="s">
        <v>57</v>
      </c>
      <c r="O73" s="3" t="s">
        <v>88</v>
      </c>
      <c r="P73" s="3"/>
    </row>
    <row r="74" spans="1:16" x14ac:dyDescent="0.45">
      <c r="A74" s="4" t="s">
        <v>122</v>
      </c>
      <c r="B74" s="23">
        <v>10</v>
      </c>
      <c r="C74" s="23" t="s">
        <v>57</v>
      </c>
      <c r="D74" s="11"/>
      <c r="E74" s="24"/>
      <c r="F74" s="19">
        <v>10</v>
      </c>
      <c r="G74" s="19">
        <v>10</v>
      </c>
      <c r="H74" s="19">
        <v>10</v>
      </c>
      <c r="I74" s="19">
        <v>10</v>
      </c>
      <c r="J74" s="19">
        <v>10</v>
      </c>
      <c r="K74" s="19"/>
      <c r="L74" s="21"/>
      <c r="M74" s="21"/>
      <c r="N74" s="3" t="s">
        <v>57</v>
      </c>
      <c r="O74" s="3" t="s">
        <v>88</v>
      </c>
      <c r="P74" s="3"/>
    </row>
    <row r="75" spans="1:16" x14ac:dyDescent="0.45">
      <c r="A75" s="4" t="s">
        <v>123</v>
      </c>
      <c r="B75" s="23">
        <v>0</v>
      </c>
      <c r="C75" s="23" t="s">
        <v>57</v>
      </c>
      <c r="D75" s="11"/>
      <c r="E75" s="24"/>
      <c r="F75" s="19">
        <v>3</v>
      </c>
      <c r="G75" s="19">
        <v>3</v>
      </c>
      <c r="H75" s="19">
        <v>3</v>
      </c>
      <c r="I75" s="19">
        <v>3</v>
      </c>
      <c r="J75" s="19">
        <v>3</v>
      </c>
      <c r="K75" s="19"/>
      <c r="L75" s="21"/>
      <c r="M75" s="21"/>
      <c r="N75" s="3" t="s">
        <v>57</v>
      </c>
      <c r="O75" s="3" t="s">
        <v>88</v>
      </c>
      <c r="P75" s="3"/>
    </row>
    <row r="76" spans="1:16" x14ac:dyDescent="0.45">
      <c r="A76" s="4" t="s">
        <v>143</v>
      </c>
      <c r="B76" s="23"/>
      <c r="C76" s="23"/>
      <c r="D76" s="11"/>
      <c r="E76" s="24"/>
      <c r="F76" s="19">
        <v>8</v>
      </c>
      <c r="G76" s="19">
        <v>8</v>
      </c>
      <c r="H76" s="19">
        <v>8</v>
      </c>
      <c r="I76" s="19">
        <v>8</v>
      </c>
      <c r="J76" s="19">
        <v>8</v>
      </c>
      <c r="K76" s="19"/>
      <c r="L76" s="21"/>
      <c r="M76" s="21"/>
      <c r="N76" s="3" t="s">
        <v>57</v>
      </c>
      <c r="O76" s="3" t="s">
        <v>88</v>
      </c>
      <c r="P76" s="3"/>
    </row>
    <row r="77" spans="1:16" x14ac:dyDescent="0.45">
      <c r="A77" s="4" t="s">
        <v>127</v>
      </c>
      <c r="B77" s="23" t="s">
        <v>126</v>
      </c>
      <c r="C77" s="23"/>
      <c r="D77" s="11"/>
      <c r="E77" s="24"/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/>
      <c r="L77" s="21"/>
      <c r="M77" s="21"/>
      <c r="N77" s="3" t="s">
        <v>57</v>
      </c>
      <c r="O77" s="3" t="s">
        <v>88</v>
      </c>
      <c r="P77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simulation runs</vt:lpstr>
      <vt:lpstr>run_results_template</vt:lpstr>
      <vt:lpstr>spatial_inputs_metrics</vt:lpstr>
      <vt:lpstr>model 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Pereira Santos</dc:creator>
  <cp:lastModifiedBy>Alexandre Santos</cp:lastModifiedBy>
  <dcterms:created xsi:type="dcterms:W3CDTF">2024-07-11T13:38:16Z</dcterms:created>
  <dcterms:modified xsi:type="dcterms:W3CDTF">2026-10-29T14:54:39Z</dcterms:modified>
</cp:coreProperties>
</file>