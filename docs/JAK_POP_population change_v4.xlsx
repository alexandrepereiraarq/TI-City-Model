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GIT\ti-city-model\docs\"/>
    </mc:Choice>
  </mc:AlternateContent>
  <xr:revisionPtr revIDLastSave="0" documentId="13_ncr:1_{ED7AA230-3015-4AC0-BF09-74FFA883B450}" xr6:coauthVersionLast="47" xr6:coauthVersionMax="47" xr10:uidLastSave="{00000000-0000-0000-0000-000000000000}"/>
  <bookViews>
    <workbookView xWindow="7710" yWindow="-13320" windowWidth="21090" windowHeight="11055" firstSheet="2" activeTab="5" xr2:uid="{00000000-000D-0000-FFFF-FFFF00000000}"/>
  </bookViews>
  <sheets>
    <sheet name="SSP assumptions" sheetId="4" r:id="rId1"/>
    <sheet name="SSP paper" sheetId="2" r:id="rId2"/>
    <sheet name="GHSL" sheetId="1" r:id="rId3"/>
    <sheet name="IIASA SSPs" sheetId="14" r:id="rId4"/>
    <sheet name="BPS" sheetId="15" r:id="rId5"/>
    <sheet name="pop_calculation_ssp" sheetId="3" r:id="rId6"/>
    <sheet name="expenditure quintiles" sheetId="8" r:id="rId7"/>
    <sheet name="HDI" sheetId="9" r:id="rId8"/>
    <sheet name="from_gdp_raster" sheetId="6" r:id="rId9"/>
    <sheet name="scenario_params" sheetId="7" r:id="rId10"/>
    <sheet name="utlity_weights" sheetId="5" r:id="rId11"/>
    <sheet name="R079-082 results" sheetId="11" r:id="rId12"/>
    <sheet name="R087-089 results" sheetId="13" r:id="rId13"/>
    <sheet name="framework_paper" sheetId="1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3" l="1"/>
  <c r="K3" i="3"/>
  <c r="K4" i="3"/>
  <c r="K5" i="3"/>
  <c r="K6" i="3"/>
  <c r="N2" i="3"/>
  <c r="N3" i="3"/>
  <c r="N4" i="3"/>
  <c r="N5" i="3"/>
  <c r="N6" i="3"/>
  <c r="M2" i="3"/>
  <c r="M3" i="3"/>
  <c r="M4" i="3"/>
  <c r="M5" i="3"/>
  <c r="M6" i="3"/>
  <c r="L2" i="3"/>
  <c r="L3" i="3"/>
  <c r="L4" i="3"/>
  <c r="L5" i="3"/>
  <c r="L6" i="3"/>
  <c r="C3" i="3"/>
  <c r="C6" i="3"/>
  <c r="C5" i="3"/>
  <c r="C4" i="3"/>
  <c r="G15" i="3"/>
  <c r="I15" i="3"/>
  <c r="D3" i="3"/>
  <c r="E3" i="3"/>
  <c r="F3" i="3"/>
  <c r="D4" i="3"/>
  <c r="E4" i="3"/>
  <c r="F4" i="3"/>
  <c r="D5" i="3"/>
  <c r="E5" i="3"/>
  <c r="F5" i="3"/>
  <c r="D6" i="3"/>
  <c r="E6" i="3"/>
  <c r="F6" i="3"/>
  <c r="H15" i="3"/>
  <c r="J15" i="3"/>
  <c r="B26" i="3"/>
  <c r="B27" i="3" s="1"/>
  <c r="J18" i="3"/>
  <c r="I18" i="3"/>
  <c r="H18" i="3"/>
  <c r="G18" i="3"/>
  <c r="R20" i="14"/>
  <c r="R19" i="14"/>
  <c r="R17" i="14"/>
  <c r="R18" i="14"/>
  <c r="R16" i="14"/>
  <c r="R5" i="14"/>
  <c r="R6" i="14"/>
  <c r="R7" i="14"/>
  <c r="R8" i="14"/>
  <c r="R4" i="14"/>
  <c r="G26" i="15"/>
  <c r="G27" i="15"/>
  <c r="F27" i="15"/>
  <c r="F28" i="15"/>
  <c r="H24" i="15"/>
  <c r="H25" i="15"/>
  <c r="H32" i="15"/>
  <c r="H33" i="15"/>
  <c r="H34" i="15"/>
  <c r="H35" i="15"/>
  <c r="H23" i="15"/>
  <c r="D39" i="15"/>
  <c r="D37" i="15"/>
  <c r="F37" i="15" s="1"/>
  <c r="D24" i="15"/>
  <c r="F24" i="15" s="1"/>
  <c r="D25" i="15"/>
  <c r="F25" i="15" s="1"/>
  <c r="D26" i="15"/>
  <c r="F26" i="15" s="1"/>
  <c r="D27" i="15"/>
  <c r="D28" i="15"/>
  <c r="D29" i="15"/>
  <c r="F29" i="15" s="1"/>
  <c r="D30" i="15"/>
  <c r="F30" i="15" s="1"/>
  <c r="D31" i="15"/>
  <c r="F31" i="15" s="1"/>
  <c r="D32" i="15"/>
  <c r="F32" i="15" s="1"/>
  <c r="D33" i="15"/>
  <c r="F33" i="15" s="1"/>
  <c r="D34" i="15"/>
  <c r="F34" i="15" s="1"/>
  <c r="D35" i="15"/>
  <c r="F35" i="15" s="1"/>
  <c r="D23" i="15"/>
  <c r="F23" i="15" s="1"/>
  <c r="E24" i="15"/>
  <c r="G24" i="15" s="1"/>
  <c r="E25" i="15"/>
  <c r="G25" i="15" s="1"/>
  <c r="E26" i="15"/>
  <c r="H26" i="15" s="1"/>
  <c r="E27" i="15"/>
  <c r="H27" i="15" s="1"/>
  <c r="E28" i="15"/>
  <c r="G28" i="15" s="1"/>
  <c r="E29" i="15"/>
  <c r="G29" i="15" s="1"/>
  <c r="E30" i="15"/>
  <c r="G30" i="15" s="1"/>
  <c r="E31" i="15"/>
  <c r="G31" i="15" s="1"/>
  <c r="E32" i="15"/>
  <c r="G32" i="15" s="1"/>
  <c r="E33" i="15"/>
  <c r="G33" i="15" s="1"/>
  <c r="E34" i="15"/>
  <c r="G34" i="15" s="1"/>
  <c r="E35" i="15"/>
  <c r="G35" i="15" s="1"/>
  <c r="E23" i="15"/>
  <c r="E37" i="15" s="1"/>
  <c r="G37" i="15" s="1"/>
  <c r="C24" i="15"/>
  <c r="C25" i="15"/>
  <c r="C26" i="15"/>
  <c r="C27" i="15"/>
  <c r="C28" i="15"/>
  <c r="C29" i="15"/>
  <c r="C30" i="15"/>
  <c r="C38" i="15" s="1"/>
  <c r="C31" i="15"/>
  <c r="H31" i="15" s="1"/>
  <c r="C32" i="15"/>
  <c r="C33" i="15"/>
  <c r="C34" i="15"/>
  <c r="C35" i="15"/>
  <c r="C23" i="15"/>
  <c r="C37" i="15" s="1"/>
  <c r="F4" i="15"/>
  <c r="E4" i="15"/>
  <c r="G4" i="15" s="1"/>
  <c r="F3" i="15"/>
  <c r="E3" i="15"/>
  <c r="G3" i="15" s="1"/>
  <c r="F2" i="15"/>
  <c r="E2" i="15"/>
  <c r="G2" i="15" s="1"/>
  <c r="G8" i="15"/>
  <c r="G9" i="15"/>
  <c r="G10" i="15"/>
  <c r="G11" i="15"/>
  <c r="G12" i="15"/>
  <c r="G13" i="15"/>
  <c r="G14" i="15"/>
  <c r="G15" i="15"/>
  <c r="G16" i="15"/>
  <c r="G17" i="15"/>
  <c r="G18" i="15"/>
  <c r="G19" i="15"/>
  <c r="G7" i="15"/>
  <c r="C26" i="3"/>
  <c r="C27" i="3" s="1"/>
  <c r="C28" i="3"/>
  <c r="B28" i="3"/>
  <c r="K5" i="2"/>
  <c r="H37" i="15" l="1"/>
  <c r="D38" i="15"/>
  <c r="F38" i="15" s="1"/>
  <c r="G23" i="15"/>
  <c r="E39" i="15"/>
  <c r="H30" i="15"/>
  <c r="H29" i="15"/>
  <c r="H28" i="15"/>
  <c r="C39" i="15"/>
  <c r="F39" i="15" s="1"/>
  <c r="I17" i="3"/>
  <c r="E38" i="15"/>
  <c r="G17" i="3"/>
  <c r="J17" i="3"/>
  <c r="H17" i="3"/>
  <c r="H3" i="15"/>
  <c r="H4" i="15"/>
  <c r="H2" i="15"/>
  <c r="D9" i="3"/>
  <c r="F3" i="12"/>
  <c r="G3" i="12" s="1"/>
  <c r="H3" i="12"/>
  <c r="I3" i="12" s="1"/>
  <c r="F4" i="12"/>
  <c r="G4" i="12"/>
  <c r="H4" i="12"/>
  <c r="I4" i="12"/>
  <c r="F5" i="12"/>
  <c r="G5" i="12"/>
  <c r="H5" i="12"/>
  <c r="I5" i="12"/>
  <c r="F6" i="12"/>
  <c r="G6" i="12"/>
  <c r="H6" i="12"/>
  <c r="I6" i="12"/>
  <c r="F7" i="12"/>
  <c r="G7" i="12" s="1"/>
  <c r="H7" i="12"/>
  <c r="I7" i="12" s="1"/>
  <c r="F8" i="12"/>
  <c r="G8" i="12"/>
  <c r="H8" i="12"/>
  <c r="I8" i="12"/>
  <c r="F9" i="12"/>
  <c r="G9" i="12"/>
  <c r="H9" i="12"/>
  <c r="I9" i="12"/>
  <c r="F10" i="12"/>
  <c r="G10" i="12"/>
  <c r="H10" i="12"/>
  <c r="I10" i="12"/>
  <c r="F11" i="12"/>
  <c r="G11" i="12" s="1"/>
  <c r="H11" i="12"/>
  <c r="I11" i="12" s="1"/>
  <c r="F12" i="12"/>
  <c r="G12" i="12"/>
  <c r="H12" i="12"/>
  <c r="I12" i="12"/>
  <c r="F13" i="12"/>
  <c r="G13" i="12" s="1"/>
  <c r="H13" i="12"/>
  <c r="I13" i="12"/>
  <c r="F14" i="12"/>
  <c r="G14" i="12"/>
  <c r="H14" i="12"/>
  <c r="I14" i="12"/>
  <c r="F15" i="12"/>
  <c r="G15" i="12" s="1"/>
  <c r="H15" i="12"/>
  <c r="I15" i="12" s="1"/>
  <c r="F16" i="12"/>
  <c r="G16" i="12"/>
  <c r="H16" i="12"/>
  <c r="I16" i="12"/>
  <c r="F17" i="12"/>
  <c r="G17" i="12" s="1"/>
  <c r="H17" i="12"/>
  <c r="I17" i="12"/>
  <c r="I2" i="12"/>
  <c r="G2" i="12"/>
  <c r="H2" i="12"/>
  <c r="F2" i="12"/>
  <c r="C3" i="12"/>
  <c r="D3" i="12"/>
  <c r="E3" i="12"/>
  <c r="C4" i="12"/>
  <c r="D4" i="12"/>
  <c r="E4" i="12"/>
  <c r="C5" i="12"/>
  <c r="D5" i="12"/>
  <c r="E5" i="12"/>
  <c r="C6" i="12"/>
  <c r="D6" i="12"/>
  <c r="E6" i="12"/>
  <c r="C7" i="12"/>
  <c r="D7" i="12"/>
  <c r="E7" i="12"/>
  <c r="C8" i="12"/>
  <c r="E8" i="12" s="1"/>
  <c r="D8" i="12"/>
  <c r="C9" i="12"/>
  <c r="D9" i="12"/>
  <c r="E9" i="12"/>
  <c r="C10" i="12"/>
  <c r="D10" i="12"/>
  <c r="E10" i="12"/>
  <c r="C11" i="12"/>
  <c r="D11" i="12"/>
  <c r="E11" i="12"/>
  <c r="C12" i="12"/>
  <c r="D12" i="12"/>
  <c r="E12" i="12"/>
  <c r="C13" i="12"/>
  <c r="D13" i="12"/>
  <c r="E13" i="12" s="1"/>
  <c r="C14" i="12"/>
  <c r="D14" i="12"/>
  <c r="E14" i="12"/>
  <c r="C15" i="12"/>
  <c r="D15" i="12"/>
  <c r="E15" i="12"/>
  <c r="C16" i="12"/>
  <c r="D16" i="12"/>
  <c r="E16" i="12"/>
  <c r="C17" i="12"/>
  <c r="D17" i="12"/>
  <c r="E17" i="12"/>
  <c r="E2" i="12"/>
  <c r="C2" i="12"/>
  <c r="D2" i="12"/>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2" i="11"/>
  <c r="AB23" i="6"/>
  <c r="M19" i="9"/>
  <c r="N19" i="9"/>
  <c r="O19" i="9"/>
  <c r="M20" i="9"/>
  <c r="N20" i="9"/>
  <c r="O20" i="9"/>
  <c r="M21" i="9"/>
  <c r="N21" i="9"/>
  <c r="O21" i="9"/>
  <c r="M22" i="9"/>
  <c r="N22" i="9"/>
  <c r="O22" i="9"/>
  <c r="M23" i="9"/>
  <c r="N23" i="9"/>
  <c r="O23" i="9"/>
  <c r="M24" i="9"/>
  <c r="N24" i="9"/>
  <c r="O24" i="9"/>
  <c r="M25" i="9"/>
  <c r="N25" i="9"/>
  <c r="O25" i="9"/>
  <c r="M26" i="9"/>
  <c r="N26" i="9"/>
  <c r="O26" i="9"/>
  <c r="M27" i="9"/>
  <c r="N27" i="9"/>
  <c r="O27" i="9"/>
  <c r="M28" i="9"/>
  <c r="N28" i="9"/>
  <c r="O28" i="9"/>
  <c r="M29" i="9"/>
  <c r="N29" i="9"/>
  <c r="O29" i="9"/>
  <c r="M30" i="9"/>
  <c r="N30" i="9"/>
  <c r="O30" i="9"/>
  <c r="M18" i="9"/>
  <c r="N18" i="9"/>
  <c r="O18" i="9"/>
  <c r="J19" i="9"/>
  <c r="K19" i="9"/>
  <c r="L19" i="9"/>
  <c r="J20" i="9"/>
  <c r="K20" i="9"/>
  <c r="L20" i="9"/>
  <c r="J21" i="9"/>
  <c r="K21" i="9"/>
  <c r="L21" i="9"/>
  <c r="J22" i="9"/>
  <c r="K22" i="9"/>
  <c r="L22" i="9"/>
  <c r="J23" i="9"/>
  <c r="K23" i="9"/>
  <c r="L23" i="9"/>
  <c r="J24" i="9"/>
  <c r="K24" i="9"/>
  <c r="L24" i="9"/>
  <c r="J25" i="9"/>
  <c r="K25" i="9"/>
  <c r="L25" i="9"/>
  <c r="J26" i="9"/>
  <c r="K26" i="9"/>
  <c r="L26" i="9"/>
  <c r="J27" i="9"/>
  <c r="K27" i="9"/>
  <c r="L27" i="9"/>
  <c r="J28" i="9"/>
  <c r="K28" i="9"/>
  <c r="L28" i="9"/>
  <c r="J29" i="9"/>
  <c r="K29" i="9"/>
  <c r="L29" i="9"/>
  <c r="J30" i="9"/>
  <c r="K30" i="9"/>
  <c r="L30" i="9"/>
  <c r="J18" i="9"/>
  <c r="K18" i="9"/>
  <c r="L18" i="9"/>
  <c r="G19" i="9"/>
  <c r="H19" i="9"/>
  <c r="I19" i="9"/>
  <c r="G20" i="9"/>
  <c r="H20" i="9"/>
  <c r="I20" i="9"/>
  <c r="G21" i="9"/>
  <c r="H21" i="9"/>
  <c r="I21" i="9"/>
  <c r="G22" i="9"/>
  <c r="H22" i="9"/>
  <c r="I22" i="9"/>
  <c r="G23" i="9"/>
  <c r="H23" i="9"/>
  <c r="I23" i="9"/>
  <c r="G24" i="9"/>
  <c r="H24" i="9"/>
  <c r="I24" i="9"/>
  <c r="G25" i="9"/>
  <c r="H25" i="9"/>
  <c r="I25" i="9"/>
  <c r="G26" i="9"/>
  <c r="H26" i="9"/>
  <c r="I26" i="9"/>
  <c r="G27" i="9"/>
  <c r="H27" i="9"/>
  <c r="I27" i="9"/>
  <c r="G28" i="9"/>
  <c r="H28" i="9"/>
  <c r="I28" i="9"/>
  <c r="G29" i="9"/>
  <c r="H29" i="9"/>
  <c r="I29" i="9"/>
  <c r="G30" i="9"/>
  <c r="H30" i="9"/>
  <c r="I30" i="9"/>
  <c r="G18" i="9"/>
  <c r="H18" i="9"/>
  <c r="I18" i="9"/>
  <c r="D19" i="9"/>
  <c r="E19" i="9"/>
  <c r="F19" i="9"/>
  <c r="D20" i="9"/>
  <c r="E20" i="9"/>
  <c r="F20" i="9"/>
  <c r="D21" i="9"/>
  <c r="E21" i="9"/>
  <c r="F21" i="9"/>
  <c r="D22" i="9"/>
  <c r="E22" i="9"/>
  <c r="F22" i="9"/>
  <c r="D23" i="9"/>
  <c r="E23" i="9"/>
  <c r="F23" i="9"/>
  <c r="D24" i="9"/>
  <c r="E24" i="9"/>
  <c r="F24" i="9"/>
  <c r="D25" i="9"/>
  <c r="E25" i="9"/>
  <c r="F25" i="9"/>
  <c r="D26" i="9"/>
  <c r="E26" i="9"/>
  <c r="F26" i="9"/>
  <c r="D27" i="9"/>
  <c r="E27" i="9"/>
  <c r="F27" i="9"/>
  <c r="D28" i="9"/>
  <c r="E28" i="9"/>
  <c r="F28" i="9"/>
  <c r="D29" i="9"/>
  <c r="E29" i="9"/>
  <c r="F29" i="9"/>
  <c r="D30" i="9"/>
  <c r="E30" i="9"/>
  <c r="F30" i="9"/>
  <c r="D18" i="9"/>
  <c r="E18" i="9"/>
  <c r="F18" i="9"/>
  <c r="AB28" i="6"/>
  <c r="AB21" i="6"/>
  <c r="G38" i="15" l="1"/>
  <c r="H38" i="15"/>
  <c r="G39" i="15"/>
  <c r="H39" i="15"/>
  <c r="H16" i="3"/>
  <c r="G16" i="3"/>
  <c r="J16" i="3"/>
  <c r="I16" i="3"/>
  <c r="G21" i="3"/>
  <c r="J9" i="3"/>
  <c r="J10" i="3" s="1"/>
  <c r="H9" i="3"/>
  <c r="I9" i="3"/>
  <c r="G9" i="3"/>
  <c r="B8" i="4"/>
  <c r="E7" i="4"/>
  <c r="D7" i="4"/>
  <c r="C7" i="4"/>
  <c r="E8" i="4"/>
  <c r="D8" i="4"/>
  <c r="C8" i="4"/>
  <c r="C9" i="3"/>
  <c r="F16" i="3" s="1"/>
  <c r="B9" i="3"/>
  <c r="I24" i="3"/>
  <c r="I25" i="3"/>
  <c r="I26" i="3"/>
  <c r="I27" i="3"/>
  <c r="J27" i="3"/>
  <c r="H27" i="3"/>
  <c r="H26" i="3"/>
  <c r="H25" i="3"/>
  <c r="H24" i="3"/>
  <c r="G27" i="3"/>
  <c r="G26" i="3"/>
  <c r="G25" i="3"/>
  <c r="G24" i="3"/>
  <c r="C25" i="4"/>
  <c r="D25" i="4"/>
  <c r="E25" i="4"/>
  <c r="B25" i="4"/>
  <c r="AE20" i="6"/>
  <c r="AE21" i="6"/>
  <c r="AC20" i="6"/>
  <c r="AD20" i="6"/>
  <c r="AC21" i="6"/>
  <c r="AD21" i="6"/>
  <c r="AB20" i="6"/>
  <c r="AB24" i="6"/>
  <c r="AC24" i="6"/>
  <c r="AD24" i="6"/>
  <c r="AE24" i="6"/>
  <c r="AB25" i="6"/>
  <c r="AC25" i="6"/>
  <c r="AD25" i="6"/>
  <c r="AE25" i="6"/>
  <c r="AB26" i="6"/>
  <c r="AC26" i="6"/>
  <c r="AD26" i="6"/>
  <c r="AE26" i="6"/>
  <c r="AB27" i="6"/>
  <c r="AC27" i="6"/>
  <c r="AD27" i="6"/>
  <c r="AE27" i="6"/>
  <c r="AC28" i="6"/>
  <c r="AD28" i="6"/>
  <c r="AE28" i="6"/>
  <c r="AB29" i="6"/>
  <c r="AC29" i="6"/>
  <c r="AD29" i="6"/>
  <c r="AE29" i="6"/>
  <c r="AB30" i="6"/>
  <c r="AC30" i="6"/>
  <c r="AD30" i="6"/>
  <c r="AE30" i="6"/>
  <c r="AB31" i="6"/>
  <c r="AC31" i="6"/>
  <c r="AD31" i="6"/>
  <c r="AE31" i="6"/>
  <c r="AB32" i="6"/>
  <c r="AC32" i="6"/>
  <c r="AD32" i="6"/>
  <c r="AE32" i="6"/>
  <c r="AB33" i="6"/>
  <c r="AC33" i="6"/>
  <c r="AD33" i="6"/>
  <c r="AE33" i="6"/>
  <c r="AB34" i="6"/>
  <c r="AC34" i="6"/>
  <c r="AD34" i="6"/>
  <c r="AE34" i="6"/>
  <c r="AC23" i="6"/>
  <c r="AD23" i="6"/>
  <c r="AE23" i="6"/>
  <c r="AC19" i="6"/>
  <c r="AD19" i="6"/>
  <c r="AE19" i="6"/>
  <c r="AB19" i="6"/>
  <c r="AB16" i="6"/>
  <c r="AC16" i="6"/>
  <c r="AD16" i="6"/>
  <c r="AE16" i="6"/>
  <c r="AB17" i="6"/>
  <c r="AC17" i="6"/>
  <c r="AD17" i="6"/>
  <c r="AE17" i="6"/>
  <c r="AB18" i="6"/>
  <c r="AC18" i="6"/>
  <c r="AD18" i="6"/>
  <c r="AE18" i="6"/>
  <c r="AA18" i="6"/>
  <c r="AA17" i="6"/>
  <c r="AA16" i="6"/>
  <c r="W16" i="6"/>
  <c r="X16" i="6"/>
  <c r="X19" i="6" s="1"/>
  <c r="Y16" i="6"/>
  <c r="Y19" i="6" s="1"/>
  <c r="Z16" i="6"/>
  <c r="W17" i="6"/>
  <c r="X17" i="6"/>
  <c r="Y17" i="6"/>
  <c r="Y20" i="6" s="1"/>
  <c r="Z17" i="6"/>
  <c r="W18" i="6"/>
  <c r="W21" i="6" s="1"/>
  <c r="X18" i="6"/>
  <c r="X21" i="6" s="1"/>
  <c r="Y18" i="6"/>
  <c r="Z18" i="6"/>
  <c r="V18" i="6"/>
  <c r="V21" i="6" s="1"/>
  <c r="V17" i="6"/>
  <c r="V20" i="6" s="1"/>
  <c r="V16" i="6"/>
  <c r="V19" i="6" s="1"/>
  <c r="E27" i="2"/>
  <c r="B27" i="2"/>
  <c r="B34" i="2"/>
  <c r="C27" i="2" s="1"/>
  <c r="Z11" i="2"/>
  <c r="Z12" i="2"/>
  <c r="Z13" i="2"/>
  <c r="Z14" i="2"/>
  <c r="Z15" i="2"/>
  <c r="Z17" i="2"/>
  <c r="Z18" i="2"/>
  <c r="Z19" i="2"/>
  <c r="Z5" i="2"/>
  <c r="Z6" i="2"/>
  <c r="Z7" i="2"/>
  <c r="Z8" i="2"/>
  <c r="Z9" i="2"/>
  <c r="X6" i="2"/>
  <c r="X7" i="2"/>
  <c r="X8" i="2"/>
  <c r="X9" i="2"/>
  <c r="X11" i="2"/>
  <c r="X12" i="2"/>
  <c r="X13" i="2"/>
  <c r="X14" i="2"/>
  <c r="X15" i="2"/>
  <c r="X17" i="2"/>
  <c r="X18" i="2"/>
  <c r="X19" i="2"/>
  <c r="X5" i="2"/>
  <c r="F11" i="2"/>
  <c r="F19" i="2"/>
  <c r="F18" i="2"/>
  <c r="F17" i="2"/>
  <c r="F15" i="2"/>
  <c r="F14" i="2"/>
  <c r="F13" i="2"/>
  <c r="F12" i="2"/>
  <c r="F7" i="2"/>
  <c r="F6" i="2"/>
  <c r="F5" i="2"/>
  <c r="D19" i="2"/>
  <c r="E19" i="2" s="1"/>
  <c r="D18" i="2"/>
  <c r="E18" i="2" s="1"/>
  <c r="D17" i="2"/>
  <c r="E17" i="2" s="1"/>
  <c r="D15" i="2"/>
  <c r="D14" i="2"/>
  <c r="D13" i="2"/>
  <c r="D12" i="2"/>
  <c r="D11" i="2"/>
  <c r="D9" i="2"/>
  <c r="D8" i="2"/>
  <c r="D7" i="2"/>
  <c r="D6" i="2"/>
  <c r="D5" i="2"/>
  <c r="C19" i="2"/>
  <c r="G19" i="2" s="1"/>
  <c r="C18" i="2"/>
  <c r="G18" i="2" s="1"/>
  <c r="C17" i="2"/>
  <c r="G17" i="2" s="1"/>
  <c r="C14" i="2"/>
  <c r="G14" i="2" s="1"/>
  <c r="C15" i="2"/>
  <c r="G15" i="2" s="1"/>
  <c r="C13" i="2"/>
  <c r="G13" i="2" s="1"/>
  <c r="C12" i="2"/>
  <c r="G12" i="2" s="1"/>
  <c r="C11" i="2"/>
  <c r="G11" i="2" s="1"/>
  <c r="C9" i="2"/>
  <c r="G9" i="2" s="1"/>
  <c r="C8" i="2"/>
  <c r="G8" i="2" s="1"/>
  <c r="C7" i="2"/>
  <c r="G7" i="2" s="1"/>
  <c r="C6" i="2"/>
  <c r="G6" i="2" s="1"/>
  <c r="C5" i="2"/>
  <c r="G5" i="2" s="1"/>
  <c r="L9" i="2"/>
  <c r="J15" i="2"/>
  <c r="N8" i="2"/>
  <c r="J13" i="2"/>
  <c r="L10" i="2"/>
  <c r="H9" i="2"/>
  <c r="K6" i="2"/>
  <c r="H16" i="2"/>
  <c r="N6" i="2"/>
  <c r="K19" i="2"/>
  <c r="K18" i="2"/>
  <c r="I15" i="2"/>
  <c r="L14" i="2"/>
  <c r="H13" i="2"/>
  <c r="N13" i="2"/>
  <c r="J16" i="2"/>
  <c r="L13" i="2"/>
  <c r="H17" i="2"/>
  <c r="J9" i="2"/>
  <c r="M10" i="2"/>
  <c r="K11" i="2"/>
  <c r="N19" i="2"/>
  <c r="J8" i="2"/>
  <c r="L19" i="2"/>
  <c r="I9" i="2"/>
  <c r="L18" i="2"/>
  <c r="L7" i="2"/>
  <c r="H6" i="2"/>
  <c r="J5" i="2"/>
  <c r="N7" i="2"/>
  <c r="M15" i="2"/>
  <c r="L11" i="2"/>
  <c r="M7" i="2"/>
  <c r="H7" i="2"/>
  <c r="K12" i="2"/>
  <c r="I19" i="2"/>
  <c r="J11" i="2"/>
  <c r="J10" i="2"/>
  <c r="K16" i="2"/>
  <c r="H18" i="2"/>
  <c r="K17" i="2"/>
  <c r="N9" i="2"/>
  <c r="I16" i="2"/>
  <c r="N14" i="2"/>
  <c r="J7" i="2"/>
  <c r="H8" i="2"/>
  <c r="H10" i="2"/>
  <c r="N5" i="2"/>
  <c r="I11" i="2"/>
  <c r="J17" i="2"/>
  <c r="N18" i="2"/>
  <c r="M8" i="2"/>
  <c r="H11" i="2"/>
  <c r="I7" i="2"/>
  <c r="N15" i="2"/>
  <c r="K14" i="2"/>
  <c r="I8" i="2"/>
  <c r="K9" i="2"/>
  <c r="L5" i="2"/>
  <c r="J6" i="2"/>
  <c r="H14" i="2"/>
  <c r="K15" i="2"/>
  <c r="M5" i="2"/>
  <c r="L17" i="2"/>
  <c r="N17" i="2"/>
  <c r="I18" i="2"/>
  <c r="H19" i="2"/>
  <c r="J19" i="2"/>
  <c r="L16" i="2"/>
  <c r="M14" i="2"/>
  <c r="I10" i="2"/>
  <c r="J18" i="2"/>
  <c r="J12" i="2"/>
  <c r="M18" i="2"/>
  <c r="I12" i="2"/>
  <c r="K8" i="2"/>
  <c r="M16" i="2"/>
  <c r="L6" i="2"/>
  <c r="I14" i="2"/>
  <c r="L15" i="2"/>
  <c r="M19" i="2"/>
  <c r="M9" i="2"/>
  <c r="L8" i="2"/>
  <c r="I5" i="2"/>
  <c r="M17" i="2"/>
  <c r="N16" i="2"/>
  <c r="L12" i="2"/>
  <c r="K7" i="2"/>
  <c r="H15" i="2"/>
  <c r="I17" i="2"/>
  <c r="J14" i="2"/>
  <c r="H12" i="2"/>
  <c r="M12" i="2"/>
  <c r="N12" i="2"/>
  <c r="M6" i="2"/>
  <c r="M11" i="2"/>
  <c r="M13" i="2"/>
  <c r="I6" i="2"/>
  <c r="N10" i="2"/>
  <c r="K10" i="2"/>
  <c r="N11" i="2"/>
  <c r="H5" i="2"/>
  <c r="K13" i="2"/>
  <c r="I13" i="2"/>
  <c r="G10" i="3" l="1"/>
  <c r="G2" i="3" s="1"/>
  <c r="G3" i="3" s="1"/>
  <c r="I10" i="3"/>
  <c r="I14" i="3" s="1"/>
  <c r="H10" i="3"/>
  <c r="H2" i="3" s="1"/>
  <c r="H6" i="3" s="1"/>
  <c r="D10" i="3"/>
  <c r="C43" i="3"/>
  <c r="D43" i="3"/>
  <c r="E43" i="3"/>
  <c r="B43" i="3"/>
  <c r="L3" i="2"/>
  <c r="E5" i="2"/>
  <c r="E9" i="2"/>
  <c r="E11" i="2"/>
  <c r="E12" i="2"/>
  <c r="E14" i="2"/>
  <c r="E6" i="2"/>
  <c r="E7" i="2"/>
  <c r="E8" i="2"/>
  <c r="F3" i="2"/>
  <c r="E13" i="2"/>
  <c r="E15" i="2"/>
  <c r="E9" i="3"/>
  <c r="E10" i="3" s="1"/>
  <c r="F9" i="3"/>
  <c r="F10" i="3" s="1"/>
  <c r="C2" i="3" s="1"/>
  <c r="Z19" i="6"/>
  <c r="W19" i="6"/>
  <c r="Z20" i="6"/>
  <c r="X20" i="6"/>
  <c r="Z21" i="6"/>
  <c r="W20" i="6"/>
  <c r="Y21" i="6"/>
  <c r="D3" i="2"/>
  <c r="I3" i="2"/>
  <c r="J3" i="2"/>
  <c r="N3" i="2"/>
  <c r="M3" i="2"/>
  <c r="K3" i="2"/>
  <c r="H3" i="2"/>
  <c r="G4" i="2"/>
  <c r="G3" i="2"/>
  <c r="C3" i="2"/>
  <c r="G5" i="3" l="1"/>
  <c r="G4" i="3"/>
  <c r="G6" i="3"/>
  <c r="G12" i="3"/>
  <c r="G11" i="3"/>
  <c r="G13" i="3"/>
  <c r="H12" i="3"/>
  <c r="H14" i="3"/>
  <c r="G14" i="3"/>
  <c r="H11" i="3"/>
  <c r="H13" i="3"/>
  <c r="H5" i="3"/>
  <c r="H4" i="3"/>
  <c r="H3" i="3"/>
  <c r="I12" i="3"/>
  <c r="I11" i="3"/>
  <c r="I13" i="3"/>
  <c r="I2" i="3"/>
  <c r="I4" i="3" s="1"/>
  <c r="D11" i="3"/>
  <c r="D14" i="3"/>
  <c r="D48" i="3" s="1"/>
  <c r="D15" i="3"/>
  <c r="D12" i="3"/>
  <c r="D13" i="3"/>
  <c r="E3" i="2"/>
  <c r="B47" i="3" l="1"/>
  <c r="C45" i="3"/>
  <c r="D47" i="3"/>
  <c r="C47" i="3"/>
  <c r="I3" i="3"/>
  <c r="I5" i="3"/>
  <c r="D45" i="3"/>
  <c r="I6" i="3"/>
  <c r="B45" i="3"/>
  <c r="B48" i="3"/>
  <c r="C48" i="3"/>
  <c r="J2" i="3"/>
  <c r="J12" i="3"/>
  <c r="E46" i="3" s="1"/>
  <c r="J11" i="3"/>
  <c r="E45" i="3" s="1"/>
  <c r="J13" i="3"/>
  <c r="E47" i="3" s="1"/>
  <c r="J14" i="3"/>
  <c r="E48" i="3" s="1"/>
  <c r="D46" i="3"/>
  <c r="B46" i="3"/>
  <c r="C46" i="3"/>
  <c r="J3" i="3" l="1"/>
  <c r="J4" i="3"/>
  <c r="J6" i="3"/>
  <c r="J5" i="3"/>
</calcChain>
</file>

<file path=xl/sharedStrings.xml><?xml version="1.0" encoding="utf-8"?>
<sst xmlns="http://schemas.openxmlformats.org/spreadsheetml/2006/main" count="1602" uniqueCount="1061">
  <si>
    <t>Region</t>
  </si>
  <si>
    <t>area_km2</t>
  </si>
  <si>
    <t>Population_1980</t>
  </si>
  <si>
    <t>Population_1985</t>
  </si>
  <si>
    <t>Population_1990</t>
  </si>
  <si>
    <t>Population_1995</t>
  </si>
  <si>
    <t>Population_2000</t>
  </si>
  <si>
    <t>Population_2005</t>
  </si>
  <si>
    <t>Population_2010</t>
  </si>
  <si>
    <t>Population_2015</t>
  </si>
  <si>
    <t>Population_2020</t>
  </si>
  <si>
    <t>Population_2025</t>
  </si>
  <si>
    <t>Population_2030</t>
  </si>
  <si>
    <t>BuiltUp_1980</t>
  </si>
  <si>
    <t>BuiltUp_1985</t>
  </si>
  <si>
    <t>BuiltUp_1990</t>
  </si>
  <si>
    <t>BuiltUp_1995</t>
  </si>
  <si>
    <t>BuiltUp_2000</t>
  </si>
  <si>
    <t>BuiltUp_2005</t>
  </si>
  <si>
    <t>BuiltUp_2010</t>
  </si>
  <si>
    <t>BuiltUp_2015</t>
  </si>
  <si>
    <t>BuiltUp_2020</t>
  </si>
  <si>
    <t>BuiltUp_2025</t>
  </si>
  <si>
    <t>BuiltUp_2030</t>
  </si>
  <si>
    <t>geometry</t>
  </si>
  <si>
    <t>Pop_density_1980</t>
  </si>
  <si>
    <t>BU_density_1980</t>
  </si>
  <si>
    <t>Pop_density_1985</t>
  </si>
  <si>
    <t>BU_density_1985</t>
  </si>
  <si>
    <t>Pop_density_1990</t>
  </si>
  <si>
    <t>BU_density_1990</t>
  </si>
  <si>
    <t>Pop_density_1995</t>
  </si>
  <si>
    <t>BU_density_1995</t>
  </si>
  <si>
    <t>Pop_density_2000</t>
  </si>
  <si>
    <t>BU_density_2000</t>
  </si>
  <si>
    <t>Pop_density_2005</t>
  </si>
  <si>
    <t>BU_density_2005</t>
  </si>
  <si>
    <t>Pop_density_2010</t>
  </si>
  <si>
    <t>BU_density_2010</t>
  </si>
  <si>
    <t>Pop_density_2015</t>
  </si>
  <si>
    <t>BU_density_2015</t>
  </si>
  <si>
    <t>Pop_density_2020</t>
  </si>
  <si>
    <t>BU_density_2020</t>
  </si>
  <si>
    <t>Pop_density_2025</t>
  </si>
  <si>
    <t>BU_density_2025</t>
  </si>
  <si>
    <t>Pop_density_2030</t>
  </si>
  <si>
    <t>BU_density_2030</t>
  </si>
  <si>
    <t>Population_1980_to_1985_pct_change</t>
  </si>
  <si>
    <t>Population_1985_to_1990_pct_change</t>
  </si>
  <si>
    <t>Population_1990_to_1995_pct_change</t>
  </si>
  <si>
    <t>Population_1995_to_2000_pct_change</t>
  </si>
  <si>
    <t>Population_2000_to_2005_pct_change</t>
  </si>
  <si>
    <t>Population_2005_to_2010_pct_change</t>
  </si>
  <si>
    <t>Population_2010_to_2015_pct_change</t>
  </si>
  <si>
    <t>Population_2015_to_2020_pct_change</t>
  </si>
  <si>
    <t>Population_2020_to_2025_pct_change</t>
  </si>
  <si>
    <t>Population_2025_to_2030_pct_change</t>
  </si>
  <si>
    <t>BuiltUp_1980_to_1985_pct_change</t>
  </si>
  <si>
    <t>BuiltUp_1985_to_1990_pct_change</t>
  </si>
  <si>
    <t>BuiltUp_1990_to_1995_pct_change</t>
  </si>
  <si>
    <t>BuiltUp_1995_to_2000_pct_change</t>
  </si>
  <si>
    <t>BuiltUp_2000_to_2005_pct_change</t>
  </si>
  <si>
    <t>BuiltUp_2005_to_2010_pct_change</t>
  </si>
  <si>
    <t>BuiltUp_2010_to_2015_pct_change</t>
  </si>
  <si>
    <t>BuiltUp_2015_to_2020_pct_change</t>
  </si>
  <si>
    <t>BuiltUp_2020_to_2025_pct_change</t>
  </si>
  <si>
    <t>BuiltUp_2025_to_2030_pct_change</t>
  </si>
  <si>
    <t>South Jakarta City</t>
  </si>
  <si>
    <t>POLYGON ((701679.8753645415 9314041.040531633, 701730.6315176925 9314030.325867828, 701765.6227672955 9314025.040518364, 701909.2203281845 9313991.654087376, 701973.6474841463 9313974.952928873, 702025.7332036326 9313964.642616436, 702075.7890368915 9313953.067351691, 702100.2191671961 9313947.25411124, 702142.3347737924 9313937.685876392, 702174.8389622085 9313930.163655968, 702203.130014752 9313923.784058204, 702203.1071536036 9313923.57399773, 702230.7123886428 9313917.318409113, 702280.788190475 9313905.123518443, 702348.2957964251 9313889.439840283, 702382.7291309421 9313882.86198979, 702407.514110339 9313877.24645854, 702430.329388199 9313871.770434758, 702473.148366745 9313863.969098797, 702501.8688441539 9313856.946376264, 702528.0249863907 9313850.950012874, 702561.7848609234 9313844.872069936, 702614.1084475298 9313836.152986627, 702695.13534799 9313825.056278326, 702750.4787285416 9313818.992081769, 702924.1257516125 9313791.714654721, 702924.0572747451 9313791.117651487, 702924.6118388159 9313791.447532307, 702993.0722579167 9313782.45102947, 702998.9903997014 9313781.446198998, 703036.1279394391 9313775.887142811, 703080.8668478818 9313769.560711812, 703090.1477282525 9313767.958042953, 703124.7491278312 9313761.97636984, 703165.26376938 9313756.7705052, 703206.6197961723 9313751.616994368, 703246.2861158752 9313744.356845567, 703274.9761450267 9313738.14118697, 703306.1900413593 9313728.808893204, 703338.4080810368 9313718.588294923, 703361.4453902221 9313710.124886898, 703407.3427489841 9313693.154412618, 703430.1681735448 9313684.238245426, 703436.7696061557 9313679.194082305, 703436.9020805991 9313679.094082288, 703458.0645492751 9313672.594759688, 703460.5302133566 9313671.845179906, 703500.171233177 9313657.307417313, 703521.8650109188 9313650.817282848, 703643.8929872182 9313605.699853092, 703674.6906304756 9313594.455382373, 703760.7366053391 9313562.557765003, 703805.7928907012 9313545.667253619, 703805.8815141593 9313545.689065566, 703843.7868132956 9313531.765357925, 703867.4320154265 9313523.078391671, 703904.3865747682 9313509.489744939, 703927.0917280504 9313501.027220974, 703943.1975596643 9313495.020864833, 703955.9650301158 9313490.253788076, 703955.6289008122 9313489.082591092, 703956.981506167 9313489.730427703, 704025.1018130884 9313465.747360317, 704121.4943345953 9313433.215832653, 704121.4271927682 9313433.005925126, 704143.1840921394 9313425.597309116, 704187.3502176378 9313410.57869356, 704222.1192870783 9313398.755970582, 704222.1410768029 9313398.656353936, 704222.1846177154 9313398.446060691, 704222.5281208658 9313398.555464359, 704261.507770601 9313384.871005654, 704282.9766743171 9313383.75651784, 704283.7177501086 9313383.610153252, 704313.2510231615 9313378.02138586, 704340.265270843 9313376.920721002, 704365.6087474579 9313379.154956652, 704366.6834157285 9313379.449830985, 704378.7569448008 9313378.832597367, 704400.3859559501 9313388.711235367, 704406.1803207332 9313390.305796571, 704434.9386233398 9313403.698784856, 704437.4912064495 9313405.658575935, 704437.5355569229 9313405.680541392, 704441.2979062195 9313408.587279703, 704465.4253971984 9313427.117236115, 704485.7384427116 9313440.495433215, 704494.2135701103 9313449.059553204, 704494.1584985723 9313449.137166034, 704494.0262574117 9313449.303528892, 704494.8475142329 9313449.931088533, 704494.5502514103 9313450.385589674, 704498.9765142046 9313453.234708805, 704500.9860586153 9313454.997311598, 704507.7735451625 9313458.88889973, 704533.4103037778 9313475.367455952, 704568.4600790079 9313493.217782488, 704578.9716768344 9313498.567359185, 704589.209041208 9313495.114052823, 704589.7988683619 9313496.029982092, 704603.5369845445 9313490.297131713, 704650.1468998198 9313474.594949575, 704657.6756800723 9313472.058015445, 704682.7960378969 9313454.749704162, 704694.9532022376 9313446.378983147, 704719.2239778955 9313417.17294197, 704732.9135201112 9313400.711916925, 704752.1030458546 9313377.61772353, 704761.2692841669 9313371.723836133, 704798.2653824744 9313347.892726595, 704798.3316378612 9313347.848254573, 704800.8275152412 9313346.246874975, 704819.910841672 9313333.947687093, 704833.4834354939 9313325.206992034, 704854.3216175819 9313314.638091955, 704864.956979391 9313311.06166997, 704892.3396248638 9313304.517872846, 704948.2882915557 9313291.16065241, 704960.8626183353 9313288.152553773, 704980.7458019886 9313279.865323843, 705030.9037667019 9313246.996089563, 705079.3279043384 9313215.260997666, 705108.2076750163 9313190.584285084, 705158.8493480657 9313147.327737365, 705169.6157356113 9313127.448149312, 705173.7647703964 9313117.501616465, 705176.5767691019 9313114.516590666, 705176.3879491822 9313114.329229783, 705190.8156983354 9313096.958519325, 705243.2322782144 9313080.140426708, 705263.5342010435 9313074.506033178, 705314.4437426996 9313060.358640231, 705401.4761580583 9313038.607865233, 705410.9210098261 9313036.440132728, 705448.954830253 9313027.724052316, 705488.5145950459 9313005.96267036, 705526.0985614636 9312976.300176136, 705544.1489524199 9312950.433483094, 705559.3735670954 9312926.77767, 705560.0009659876 9312925.780053549, 705590.3120902447 9312876.975766612, 705584.6922342794 9312874.650744483, 705584.923037458 9312874.185407488, 705598.3809551862 9312858.056683961, 705604.2269522664 9312839.676291801, 705603.3331766067 9312824.703974273, 705598.2274351886 9312814.336413592, 705589.7580650974 9312807.453554112, 705568.634394588 9312802.838217463, 705547.1255532469 9312798.854655353, 705532.1057056754 9312805.156372016, 705501.5473933638 9312786.68257878, 705500.9151432809 9312786.2976926, 705471.5193365611 9312742.680082733, 705463.3810053263 9312729.193139851, 705447.5389969341 9312706.221503174, 705433.0905568023 9312679.794208292, 705418.6217891595 9312647.571466396, 705416.5948397693 9312640.854008587, 705407.5127363511 9312610.746973284, 705394.6941455876 9312569.338519359, 705387.0003165677 9312540.575952822, 705386.9519936246 9312526.806237638, 705389.4422104228 9312514.144688427, 705394.4259714524 9312492.924892135, 705409.5518551213 9312469.557006868, 705434.7777918559 9312441.519453712, 705459.1652395342 9312411.106893362, 705472.6263779182 9312395.929336302, 705490.3128022897 9312383.10380842, 705503.8066723283 9312377.249835972, 705522.3668622549 9312373.700697217, 705543.4824538107 9312376.059759652, 705554.4950507918 9312385.400087487, 705563.8499968719 9312401.780498924, 705569.8899149569 9312413.416687915, 705570.5761046626 9312413.403217092, 705588.7204667872 9312455.312779255, 705617.0237254866 9312496.688943531, 705637.6995977133 9312515.639775546, 705646.170568246 9312519.834992513, 705650.7030307378 9312521.400669273, 705661.3102408013 9312522.458351558, 705668.3674952202 9312521.216933096, 705691.318851102 9312510.507452846, 705706.0671673242 9312499.406508856, 705712.0349396006 9312493.656365361, 705733.8295460849 9312471.901820662, 705758.2223530468 9312446.189646585, 705769.3158351914 9312434.448978709, 705778.1732608802 9312422.638749532, 705789.4174235833 9312419.126313113, 705791.063048196 9312418.114050074, 705805.4023815517 9312413.473647224, 705810.7006337796 9312412.481717128, 705813.022430583 9312411.75463955, 705815.3130844891 9312411.61386058, 705823.9627887007 9312409.97971108, 705833.9812754171 9312410.442178408, 705847.8579407568 9312409.574910797, 705856.5152145727 9312413.238553625, 705866.209011373 9312415.792531248, 705887.3452546849 9312424.00223969, 705904.3242119414 9312433.465310724, 705904.4794006003 9312433.531125726, 705905.144895138 9312433.926950457, 705927.1144089013 9312446.170681635, 706000.7303144289 9312487.099701993, 706018.1424561499 9312496.981513092, 706083.0541362478 9312527.168483935, 706115.79089122 9312538.732759967, 706129.7182260263 9312539.668066243, 706157.0957999781 9312538.067449454, 706177.2404253967 9312534.96599372, 706188.366838731 9312526.299844576, 706189.266564871 9312524.062515536, 706189.7558728495 9312515.290057631, 706189.763747608 9312511.241998795, 706180.669472346 9312493.511367738, 706176.8109427257 9312488.459393028, 706153.4871637783 9312462.56116825, 706132.3028401707 9312443.866648493, 706104.3614192494 9312420.49534447, 706084.8787080823 9312404.10640247, 706066.2331037412 9312386.553189434, 706058.6115177115 9312378.406551646, 706053.3506977253 9312371.169595418, 706039.4996696014 9312357.315717172, 706022.34112898 9312325.146756858, 706000.9008356038 9312296.59849352, 705967.8296662465 9312259.165610448, 705961.4497325192 9312251.57866655, 705950.2178929411 9312239.717453165, 705945.1304107187 9312231.407046832, 705936.4440272979 9312219.470510434, 705921.1649472116 9312196.098834902, 705893.9867764543 9312150.527023993, 705876.1441916659 9312118.946658297, 705858.2956665477 9312085.674106436, 705850.6939574536 9312073.722690566, 705843.5038227644 9312065.497105425, 705816.3279463837 9312017.403564952, 705810.7323350388 9312009.371450527, 705807.3142428068 9311997.361070104, 705806.7976740813 9311995.250394741, 705804.3084609683 9311989.286660867, 705804.3048938022 9311985.12804787, 705803.0247544604 9311979.912150806, 705805.5075872005 9311965.193380829, 705814.7437404122 9311947.807459338, 705825.679398726 9311938.434179887, 705847.5964364853 9311926.38991794, 705851.0568274383 9311925.260658113, 705856.5675961421 9311921.768361846, 705896.575859975 9311911.341530278, 705904.9573597112 9311909.000438415, 705905.7762062966 9311908.942253996, 705906.66083849 9311908.706875013, 705907.9450137502 9311908.779774088, 705923.5251967008 9311907.663129253, 705934.21544382 9311910.324164277, 705943.6807969558 9311910.888077118, 705957.3119223742 9311922.044031316, 705962.4359955268 9311925.034352725, 705970.803612777 9311931.32024372, 705972.5318389856 9311931.767623672, 705972.3683882422 9311932.498171577, 705978.5164588018 9311937.11073221, 705987.8798091679 9311955.846882557, 705992.1721976838 9311977.244280428, 705992.2335196006 9311994.652795702, 705981.3386083532 9312018.736012584, 705965.4091430944 9312049.539426375, 705957.0300799629 9312068.293824058, 705952.8397437569 9312079.014836796, 705954.5803365569 9312092.402588524, 705969.0206131681 9312116.451877067, 705989.3527646167 9312135.215768715, 706006.2619243164 9312140.586768148, 706067.9295543545 9312148.587264545, 706093.2696483207 9312149.924750973, 706115.2152045295 9312145.954236388, 706124.4777909975 9312139.219119802, 706136.2233424325 9312117.820495252, 706149.5678573352 9312069.617380612, 706160.4439325437 9312040.203167515, 706175.5226517194 9312006.715040676, 706187.2445143533 9311978.613995818, 706196.4741874406 9311962.5552271, 706211.6252759448 9311946.464513661, 706236.0139378227 9311919.701302059, 706254.5032175444 9311892.947823398, 706277.1842458392 9311862.175752075, 706299.880921216 9311832.708713194, 706329.3497623341 9311805.927508395, 706347.842020161 9311783.17775953, 706367.1958395027 9311763.068348465, 706381.4757990749 9311741.660675185, 706389.8405297622 9311718.902414365, 706396.4881643885 9311689.447726326, 706394.7207146478 9311665.353771098, 706392.102831061 9311654.31386596, 706388.7206006564 9311639.958597206, 706375.985960432 9311622.539493918, 706352.3063533473 9311611.817278566, 706322.735371621 9311606.491113866, 706299.9347123734 9311606.460996745, 706275.010813487 9311613.229328837, 706270.3997523224 9311614.473284863, 706243.3916768986 9311617.156682458, 706220.5959008241 9311618.509040907, 706207.9244864502 9311615.855059888, 706196.921142051 9311609.147159074, 706185.9036370408 9311598.424455147, 706185.0200498886 9311586.405137468, 706184.9774412127 9311574.327551926, 706187.4545544117 9311558.027141284, 706192.4208923368 9311550.820490649, 706192.4869495863 9311550.720715804, 706203.4136404411 9311535.706654016, 706222.7296059676 9311504.891139032, 706246.2399557953 9311467.679070892, 706270.613873323 9311433.682454374, 706295.8138580099 9311395.413663074, 706310.0793745025 9311369.946940675, 706319.2792279093 9311345.493518626, 706321.7124904646 9311316.794750093, 706323.1771008767 9311255.139985261, 706324.2499010938 9311220.440326829, 706324.697800743 9311206.237438831, 706327.9647797438 9311175.434281623, 706328.7271445023 9311153.12314999, 706328.6453684323 9311129.974424297, 706322.6869586975 9311116.38035799, 706311.6464873736 9311096.013277698, 706302.3011213465 9311082.386935404, 706283.6664081821 9311064.72325027, 706259.9418535652 9311044.345669368, 706232.8526512494 9311023.979966389, 706209.994700331 9311007.658408586, 706193.8946446385 9310989.996819278, 706176.0852894918 9310970.969798999, 706160.8072447813 9310947.874746354, 706151.4491819949 9310927.501720838, 706148.8570610672 9310911.208140599, 706155.5461449199 9310893.521385418, 706164.7904972846 9310878.557474244, 706179.9294489854 9310862.267639825, 706206.0479069573 9310845.972200133, 706226.6781668336 9310833.257517, 706234.6961440685 9310828.318462713, 706272.6111395665 9310805.190342367, 706305.4729101161 9310783.451512761, 706333.2641733456 9310764.473511912, 706356.8478444518 9310748.142697137, 706378.7059289783 9310719.585375167, 706423.2585354868 9310661.151562661, 706434.2104831719 9310647.09953427, 706451.8394170734 9310624.49645646, 706469.4502473753 9310590.52352913, 706488.7160109647 9310545.683598906, 706491.3703193642 9310532.601027435, 706494.5252950629 9310517.12767629, 706495.3136566816 9310502.204650167, 706491.8903562728 9310488.767537475, 706481.7047732758 9310475.409656182, 706463.945646314 9310467.453839654, 706436.0621590526 9310463.43809647, 706399.7872869149 9310471.419177229, 706378.6758308427 9310470.078144083, 706371.0579976703 9310466.090230364, 706366.7970529693 9310456.770481188, 706366.7170561693 9310434.152629405, 706375.901008039 9310402.156129368, 706389.3381535495 9310383.54955781, 706410.3520600803 9310354.198825246, 706429.6667222574 9310335.715224126, 706442.3299220968 9310323.603716463, 706464.2039973899 9310299.636231765, 706478.4884572881 9310279.655157173, 706491.9064697524 9310255.662283188, 706502.7681488337 9310222.398927273, 706522.8353999279 9310166.418453556, 706536.1607848266 9310113.160531607, 706543.6401040097 9310081.16999546, 706546.8665924941 9310035.911189687, 706544.2282086266 9310006.599880094, 706537.4437853452 9309997.289082322, 706526.4407891235 9309990.625559872, 706510.3876263236 9309989.310949966, 706498.5905651413 9309995.94462278, 706468.2812803399 9310022.585422412, 706450.6352458097 9310046.537974117, 706430.525609529 9310090.540351355, 706412.1546108536 9310150.463269925, 706392.0934901258 9310205.072187228, 706373.6563315581 9310246.325661756, 706364.3892373675 9310251.678410882, 706339.0641133684 9310254.356091399, 706313.7294843907 9310254.34616274, 706279.9263600769 9310247.652625114, 706237.6284410543 9310223.702004137, 706209.6886111477 9310203.704396073, 706191.0413093698 9310182.41306658, 706172.3641076824 9310155.790823106, 706157.0407101425 9310119.832972996, 706152.884469796 9310108.809583789, 706137.4328963088 9310067.897218343, 706122.9176450532 9310022.590645434, 706110.9322738411 9309975.95896831, 706102.3885742797 9309947.984744176, 706097.2380613447 9309924.953495482, 706088.0762983204 9309894.338070352, 706085.2762058406 9309884.968919992, 706077.5580719248 9309849.448725231, 706070.6885148385 9309819.157005783, 706065.5172889938 9309790.263928713, 706063.7304035974 9309760.68421603, 706061.0415247179 9309717.02806034, 706062.6009558908 9309682.271404412, 706061.6787067316 9309659.33581397, 706063.2357401741 9309620.774456907, 706063.1089103762 9309584.90668133, 706063.8558765394 9309558.271081343, 706063.8502053707 9309556.667372568, 706063.8436737327 9309554.82034246, 706063.8426568294 9309554.532780886, 706063.7701036017 9309534.016368562, 706064.492419478 9309500.412929554, 706064.4107462334 9309477.31952263, 706062.6465889467 9309454.176765164, 706059.225808959 9309441.425394025, 706051.5240221275 9309413.658354055, 706035.328370752 9309371.996566536, 706023.3771600527 9309335.009293139, 706012.291389737 9309304.887342807, 706007.1353763988 9309277.166604681, 706006.1918269868 9309248.214346813, 706006.1099511988 9309225.065644493, 706017.7993848431 9309188.05005715, 706019.309188195 9309183.089747757, 706025.3351730125 9309159.510208737, 706017.5078680604 9309158.830046026, 706037.8968561473 9309131.295441404, 706052.1040351505 9309102.068366786, 706067.2338562331 9309080.237293458, 706085.7283701982 9309058.438545085, 706099.1521394629 9309033.029988479, 706121.8231118333 9308996.716508716, 706149.5693476296 9308962.17679409, 706173.9419523616 9308931.343112841, 706191.6047949628 9308912.245939802, 706213.4827049648 9308889.539258735, 706224.4169126078 9308876.847644458, 706231.988163494 9308867.740389049, 706233.638303327 9308858.665169777, 706230.2240218518 9308847.760837425, 706214.9862165342 9308835.947214318, 706174.4960553306 9308819.046860162, 706158.30935785 9308814.304061195, 706053.0997160237 9308761.100976406, 706039.9116505411 9308756.148452736, 706036.4351399504 9308752.665736165, 706029.5276161144 9308749.173044538, 706029.237812134 9308745.468903376, 706027.1941432152 9308743.430000689, 706022.9023613991 9308722.24278986, 706022.8273069869 9308701.040652428, 706026.9241820793 9308667.17087655, 706028.9311345522 9308661.96547723, 706029.5236764401 9308657.395516662, 706034.5020193469 9308647.423710745, 706056.2156508383 9308590.851317616, 706083.817783702 9308518.818001453, 706098.8145578583 9308459.493242122, 706098.754571239 9308442.560280427, 706080.7576486887 9308407.91711312, 706078.8561388645 9308405.391062422, 706060.5532458664 9308387.472006816, 706059.7767994178 9308386.988108246, 706033.9677094612 9308374.647858068, 705990.1291791799 9308359.086568864, 705985.8087978638 9308357.951607337, 705955.5083463185 9308352.440317117, 705952.7264212235 9308351.322026726, 705924.2247422049 9308347.452322545, 705912.5771500336 9308352.43746254, 705899.2476745478 9308373.167209234, 705890.3713336838 9308429.417590713, 705884.4465437776 9308475.305179335, 705874.0865213848 9308534.524928752, 705872.3959893316 9308541.576252624, 705867.8434459959 9308571.797743775, 705859.1448361466 9308596.979393233, 705857.803449947 9308602.613775836, 705842.9947463608 9308658.87404747, 705829.6755918252 9308682.5567814, 705804.5123805825 9308686.992426353, 705774.9070317454 9308684.033441434, 705773.963125636 9308686.270936448, 705774.3537737379 9308684.068578217, 705774.4274142155 9308679.854387047, 705728.0089820529 9308667.122323243, 705683.1726648579 9308641.698609388, 705580.8067034538 9308537.906659778, 705556.6175143745 9308501.615208771, 705533.0045220747 9308440.447391702, 705516.300930647 9308364.523018805, 705512.2650025507 9308306.062147025, 705514.0958170929 9308260.399285885, 705514.2783037566 9308255.66488716, 705521.3384997617 9308233.486412313, 705526.382871948 9308223.40382844, 705537.2946075144 9308213.765034897, 705583.756773341 9308226.463796668, 705653.9863021916 9308268.830375716, 705695.7256352662 9308298.00331982, 705723.9535777438 9308312.115822976, 705751.1651499829 9308311.101577327, 705809.6337804686 9308291.948619902, 705836.3763154235 9308270.983406384, 705861.537377739 9308222.218448317, 705863.0571589782 9308198.201390289, 705855.6093523703 9308182.754544761, 705855.4849094173 9308181.991831986, 705854.9739290907 9308181.462751519, 705848.9532466808 9308168.974985965, 705820.7199755843 9308137.719277825, 705776.698098213 9308107.80242205, 705736.0789763026 9308082.419242883, 705718.9102662187 9308072.194015672, 705712.8653344852 9308059.098023342, 705706.3750814339 9308042.132542085, 705709.8439902455 9308027.84157066, 705723.1666959989 9308014.599630814, 705763.2612599541 9308013.738834495, 705810.6452022423 9308011.713007355, 705826.7713284809 9308005.672356488, 705834.837057539 9307995.590086982, 705837.8642002507 9307978.447131868, 705837.7594335545 9307945.731454005, 705824.9041704439 9307890.92947863, 705824.7794140875 9307890.07828559, 705824.7112085191 9307889.569758264, 705823.1677089485 9307878.747295702, 705806.9638199103 9307831.555532563, 705791.5348970762 9307768.799340144, 705781.315986825 9307727.138606679, 705767.3014633192 9307669.995989632, 705758.2261859836 9307607.493814928, 705737.0546122547 9307510.725774044, 705718.9151706472 9307448.233586906, 705703.7874754474 9307404.88698271, 705691.6979661672 9307375.65347982, 705667.5028792552 9307359.52492189, 705644.0050620682 9307355.902956914, 705609.3940006641 9307358.082678245, 705570.5856698675 9307368.870992515, 705530.0721779128 9307373.184046237, 705458.3154761678 9307377.496987542, 705398.3940864818 9307386.14781508, 705339.3934494607 9307414.194852121, 705309.1211276626 9307450.910997225, 705297.3989364763 9307462.919521261, 705283.8793055173 9307476.781440096, 705274.6471883217 9307491.900123188, 705245.0896191086 9307489.737220623, 705184.2430479885 9307474.611714203, 705152.0714931772 9307453.047427852, 705149.4836255246 9307437.915214315, 705149.2222439199 9307435.98061022, 705147.7557856917 9307425.003054949, 705153.6276818227 9307414.220786547, 705183.9306418705 9307386.164740494, 705285.9332594 9307340.822657598, 705370.2364224027 9307304.125626603, 705443.6252988307 9307282.5641863, 705460.8559284273 9307272.825581035, 705461.8649330903 9307257.713814242, 705459.8489475428 9307241.584153052, 705450.7787389725 9307230.489707144, 705428.1930805914 9307215.638372976, 705393.5515446581 9307209.169043455, 705353.0076072314 9307204.833060035, 705227.1407094067 9307189.71636756, 705167.1357013946 9307174.632203208, 705134.161198989 9307163.832324373, 705124.0194525572 9307159.543630075, 705119.7688957048 9307153.077394336, 705114.6880670167 9307146.54773048, 705112.0719700567 9307129.690236224, 705117.1213687989 9307108.525383648, 705140.3151784929 9307082.540558364, 705184.4232966278 9307049.48072833, 705251.0113491557 9307017.071348779, 705264.4788336983 9307004.149703942, 705270.289521025 9306976.080583215, 705273.7028887414 9306942.965442223, 705275.190417072 9306928.593028536, 705288.0763492314 9306860.77076617, 705288.315444948 9306859.531181997, 705288.4349928019 9306858.911389908, 705288.4457469935 9306858.822870547, 705288.6094068938 9306858.15868178, 705288.7728320807 9306857.428132847, 705290.9417056605 9306847.952960024, 705293.8880898366 9306836.141341789, 705313.4209622156 9306757.688845098, 705325.9300967157 9306711.656409996, 705341.0212851933 9306682.22720236, 705373.7116629134 9306615.927448504, 705390.4307085563 9306568.033022502, 705386.9835581707 9306547.794050349, 705383.5689063843 9306536.73490639, 705377.6329337633 9306529.36772561, 705368.3411208154 9306527.553570155, 705357.3558511246 9306525.690106992, 705337.0983852957 9306527.553557564, 705320.2357913647 9306534.890829565, 705301.693004529 9306545.92813707, 705278.170745702 9306579.081266956, 705267.2943252006 9306604.856752709, 705252.1595970972 9306625.106154533, 705242.8808465347 9306626.98602417, 705222.6037933778 9306623.319411099, 705208.1649044125 9306599.36992758, 705208.065884348 9306596.406154405, 705206.2631003448 9306540.414930744, 705212.931711585 9306526.510839062, 705223.0279280801 9306505.438694943, 705266.8317470364 9306474.116173152, 705331.6906872514 9306431.802690495, 705334.1643433489 9306430.278690927, 705370.4405917082 9306407.83084012, 705398.2099435488 9306380.203741511, 705416.6809372092 9306348.91545561, 705419.9390621671 9306315.77869207, 705413.0792488884 9306288.174672078, 705394.4954951967 9306284.49109285, 705324.4312257422 9306288.167845894, 705285.5661734057 9306295.218036119, 705263.6783527074 9306299.199747276, 705234.137552903 9306304.734834747, 705200.4322617002 9306324.994656563, 705172.0531640566 9306346.076182725, 705158.3327245603 9306356.266883865, 705130.511245462 9306369.17295097, 705093.3782776416 9306374.690561898, 705066.3373472738 9306367.34268798, 705047.69688857 9306350.740937836, 705047.6613023559 9306350.066394264, 705045.8911016962 9306315.786175871, 705053.3464017642 9306277.104578024, 705053.2552047627 9306251.312620325, 705038.8099528078 9306225.527176907, 705015.9726042815 9306214.481407719, 704988.9513508744 9306212.674588602, 704937.4774358615 9306221.870548014, 704905.8675988793 9306227.534444846, 704875.8835921092 9306232.905014887, 704839.5333070463 9306221.851624051, 704820.5662221257 9306209.87412633, 704813.3010206126 9306205.276648618, 704809.7955843207 9306168.480880832, 704823.9691018767 9306117.377200853, 704825.5314679735 9306114.783608258, 704853.3470080486 9306068.907402199, 704883.6100417485 9306029.780268177, 704881.845032834 9306009.480078481, 704874.0483956945 9305954.715672724, 704850.2321627893 9305904.642089011, 704834.9873238424 9305890.561102144, 704801.9688880349 9305867.108618721, 704757.9941163711 9305846.791672375, 704734.9378113035 9305842.626030907, 704723.3542874102 9305840.532342559, 704687.8953788097 9305840.502743341, 704642.6412560337 9305855.892354595, 704637.2912398938 9305857.714046236, 704611.9754976875 9305862.448680177, 704580.7220763107 9305859.285208203, 704556.1866236206 9305843.655366553, 704534.0860273086 9305802.96573827, 704531.3494819002 9305798.982690526, 704513.7174080743 9305773.241642637, 704489.9624436 9305740.421600664, 704477.7641235968 9305730.311451616, 704419.3477885431 9305681.930444798, 704416.2843615308 9305679.397424515, 704363.3110666955 9305649.268501457, 704349.8044181451 9305641.596177876, 704309.845864421 9305617.714525886, 704304.4106920426 9305607.934430525, 704297.0932528966 9305594.765517456, 704291.8569932061 9305591.178384503, 704289.7813634577 9305586.30819333, 704289.3015117174 9305585.181753758, 704291.647886521 9305575.816623533, 704292.3097525584 9305562.65275386, 704292.3423680179 9305562.486737134, 704295.2335302061 9305547.55644762, 704310.466030839 9305533.10245857, 704314.2383241791 9305529.527797101, 704341.3944508097 9305513.217882333, 704386.0716510646 9305491.227592455, 704402.671814225 9305478.60472215, 704405.5375347645 9305478.428708054, 704425.7083254725 9305477.218334667, 704495.8549279554 9305497.221829403, 704501.4946196876 9305499.093201507, 704544.0415424032 9305513.18842891, 704583.749004028 9305519.219763508, 704600.6988544004 9305521.006942993, 704640.3444796917 9305525.191418214, 704667.7565202494 9305531.210832471, 704691.90011387 9305529.919973578, 704701.7741110073 9305518.028616527, 704704.6723795738 9305514.534431655, 704705.3289706493 9305509.300666321, 704701.3940471715 9305498.165952584, 704668.6663206604 9305466.085539265, 704625.1242456981 9305442.847189467, 704610.2200204385 9305428.02396136, 704610.184553936 9305427.382598953, 704602.1456879805 9305419.912226245, 704594.3622204072 9305412.684273759, 704556.2220496594 9305377.238547394, 704532.532601222 9305347.282901075, 704520.1655459909 9305330.11701615, 704484.8660651228 9305281.112584542, 704456.1171848748 9305241.209622249, 704413.7063957936 9305187.242172759, 704411.4496910723 9305184.374507884, 704408.9706751877 9305181.231124764, 704391.6507322005 9305159.216264868, 704384.40309322 9305147.00935571, 704384.1068602463 9305135.198192215, 704381.4045564993 9305125.231502565, 704391.0341970765 9305109.967720669, 704393.9945573107 9305105.256717715, 704405.7857274623 9305097.251800345, 704424.0969744626 9305095.992652826, 704432.8654060037 9305093.838146944, 704434.5903343565 9305093.411771184, 704444.4993689132 9305094.593393212, 704449.2790710842 9305094.2557705, 704453.8817834713 9305093.94089267, 704464.038714389 9305093.241414683, 704506.2830826198 9305103.223281575, 704515.5651676782 9305099.230966829, 704525.6489696451 9305087.228284394, 704528.1409778098 9305075.252420554, 704522.4746736453 9305065.838148704, 704513.7024245192 9305051.2476491, 704479.7708105537 9305007.226545991, 704470.9841982585 9305001.097092947, 704428.1384798182 9304971.231244428, 704397.6218610676 9304935.260892875, 704372.1274185239 9304889.263392555, 704370.0999562575 9304860.425755573, 704369.4588712994 9304851.248118736, 704371.9225681096 9304831.253779024, 704381.938870596 9304800.150522744, 704387.7823476193 9304781.405096896, 704387.7236730903 9304764.792999884, 704390.1771157797 9304741.900939817, 704415.3328348821 9304692.019398034, 704416.4653166821 9304689.925033493, 704442.1817391157 9304642.142908612, 704496.0261064367 9304590.158030411, 704566.7914025863 9304544.406453067, 704604.7690114031 9304540.257311037, 704639.4080714034 9304546.516482629, 704654.6798966504 9304565.187270634, 704658.3821533616 9304569.996393526, 704669.0997546643 9304583.905312112, 704677.5842420824 9304598.485739233, 704681.8337386118 9304604.69756346, 704684.8239299809 9304605.306352, 704702.1117165186 9304608.839730635, 704729.1001630932 9304598.469358353, 704777.8496424798 9304564.132032227, 704779.0971217849 9304563.264924968, 704791.3883581082 9304546.509533014, 704783.5376568174 9304498.392509267, 704782.9945933917 9304495.043207567, 704780.5534263882 9304483.83686183, 704769.074817382 9304442.534674464, 704753.4284099354 9304421.221865902, 704746.1668158285 9304411.337683221, 704729.2126953934 9304392.628636165, 704696.2265040213 9304378.079646152, 704660.7319000801 9304367.70919185, 704612.5511306436 9304353.169692988, 704610.9655134038 9304352.301552167, 704593.8897082731 9304342.97190915, 704589.7094963212 9304340.697249638, 704583.7409620984 9304324.050740184, 704585.3826607033 9304309.4897937, 704597.7756320491 9304268.324360635, 704600.4007780799 9304259.59968438, 704625.5558521784 9304209.67368846, 704657.7385162355 9304144.194354482, 704658.2549651088 9304143.152873078, 704685.9553363828 9304099.499968914, 704697.7303372911 9304087.004555687, 704701.928472236 9304078.716703175, 704739.8320214987 9304053.741386686, 704775.2823628134 9304051.658171453, 704798.1093873708 9304060.01619736, 704807.5305768056 9304073.476201523, 704810.4559362952 9304077.6576339, 704818.4756104999 9304089.109655954, 704831.2942605368 9304130.672524357, 704839.9813657429 9304199.314221364, 704846.0235649663 9304236.731425531, 704856.3645443266 9304247.412076268, 704862.1181287903 9304253.342053622, 704874.6976975187 9304258.650597895, 704891.1704200495 9304260.17383319, 704929.1729622178 9304263.102826955, 704939.4154487927 9304267.844514014, 704953.1053398743 9304274.17770371, 704977.0425337199 9304280.363966316, 704996.2250273438 9304293.922082169, 705032.9148262774 9304319.871864952, 705087.0424299231 9304344.841803217, 705098.8789494603 9304343.450485911, 705112.1203833128 9304341.899340812, 705129.6871479102 9304339.846203055, 705133.5355569854 9304335.928313471, 705145.2240588526 9304324.008231468, 705153.5206858958 9304282.481048865, 705145.7923481789 9304247.115930118, 705087.1386262994 9304134.831058858, 705044.2724618387 9304086.70549652, 705037.1170215785 9304078.679077573, 705013.5069440347 9304049.254303815, 704987.0845344091 9304016.31130963, 704938.7230485235 9303950.774399184, 704924.2951013473 9303929.778077904, 704922.6235663553 9303920.283330178, 704921.7087056284 9303915.077240288, 704917.4476461202 9303902.48377037, 704915.709798747 9303889.89241432, 704913.1160707125 9303873.123354098, 704915.605640535 9303860.51700875, 704919.781054491 9303845.836435694, 704929.9181967763 9303845.855789442, 704936.691022201 9303852.102880832, 704950.3686411913 9303870.602260387, 704953.7692018182 9303874.59397792, 704958.6478890106 9303880.350078631, 704975.4412661034 9303897.422705965, 704986.4258988163 9303908.609808441, 705010.430949069 9303933.963033224, 705045.9632218009 9303954.984018076, 705071.3246837689 9303963.377186375, 705100.001804935 9303954.947127542, 705119.3345283541 9303929.771941114, 705136.1255329162 9303902.504332654, 705136.111910752 9303898.666502489, 705135.7679557635 9303801.769584376, 705132.109410307 9303721.99451302, 705129.5528734401 9303715.721413435, 705125.3140688004 9303709.410045687, 705116.0450458433 9303695.186395278, 705109.3414792864 9303692.865437971, 705096.532646888 9303688.420480639, 705077.1255185143 9303692.603751564, 705018.1004732104 9303715.696707033, 705007.3429178474 9303718.59945961, 704909.286740409 9303745.093504407, 704875.3405185603 9303746.861841617, 704829.0904961298 9303749.282083895, 704780.9430110764 9303740.903247174, 704754.7682827153 9303734.06129511, 704732.7695538455 9303728.310550755, 704714.1401661255 9303711.49877638, 704705.3025986922 9303694.077179484, 704701.3797237781 9303686.337916806, 704694.5398604476 9303661.156080961, 704730.6598021137 9303610.759728745, 704820.7993872266 9303552.009427857, 704871.3728583255 9303526.778832087, 704876.4042270212 9303519.428103656, 704876.5912978253 9303519.128815936, 704896.5519012426 9303486.92825894, 704894.780382104 9303461.728446275, 704896.1795763087 9303381.97975114, 704884.3009317524 9303365.199396886, 704875.8198047493 9303354.678097092, 704858.9099782265 9303348</t>
  </si>
  <si>
    <t>East Jakarta City</t>
  </si>
  <si>
    <t>POLYGON ((714679.7860019862 9319532.7129033, 714685.7295782602 9319328.135443319, 714689.7725619207 9319280.017938633, 714694.7037932384 9319241.774376687, 714695.2130942194 9319241.794648118, 714710.7581663565 9319242.501368687, 714718.3529600333 9319242.683932856, 714787.6171565285 9319245.230631461, 714803.6987511576 9319253.445573382, 714810.441898408 9319250.78862894, 714823.9614510238 9319251.580106625, 714892.3895667393 9319255.556553107, 715003.0445389058 9319260.949962059, 715043.6040621513 9319263.5454695, 715117.9270251611 9319265.962783178, 715137.3541870278 9319265.681926744, 715141.9496236489 9319262.999574909, 715144.7444269912 9319261.363481278, 715146.6223892089 9319260.272698367, 715151.6291014053 9319242.844948275, 715152.3195394865 9319222.678796342, 715153.9216823217 9319176.229124073, 715156.3060040774 9319134.820277726, 715161.9737211111 9319067.871398754, 715161.9610353857 9319064.387327043, 715165.3108881508 9319057.097194592, 715170.7720676697 9319036.80306022, 715195.3141537673 9318945.49614476, 715193.5981275251 9318939.374770444, 715192.3785270834 9318935.817669071, 715191.0358274622 9318931.896013182, 715191.022815183 9318928.32345641, 715190.9834153599 9318917.506241158, 715190.9583570703 9318910.626580724, 715190.6900322478 9318836.963334678, 715191.0661480762 9318751.805677304, 715191.149963009 9318732.272185016, 715186.5929513015 9318639.146677565, 715185.9748224539 9318633.563278977, 715179.6094801167 9318575.827525433, 715175.1693688887 9318517.830362022, 715173.4609427296 9318501.643730994, 715161.6177647593 9318389.741604254, 715161.2508704447 9318386.269883445, 715161.1709625287 9318385.60653302, 715161.3812499456 9318385.59470589, 715189.8829693741 9318384.605962534, 715203.7835565497 9318383.681495318, 715294.436214311 9318377.654694434, 715341.0297928507 9318374.564722415, 715374.706994467 9318372.119115926, 715451.7672735557 9318369.559411995, 715579.987083293 9318365.28641859, 715640.1122527404 9318363.274978815, 715639.8787753184 9318366.029951727, 715677.7419312603 9318360.947484117, 715693.3319940488 9318358.855348686, 715715.9671260566 9318357.998387614, 715732.846837059 9318357.41684817, 715766.626017261 9318355.601099176, 715811.0967558625 9318353.204268113, 715828.3405267503 9318352.278486947, 715831.8601123273 9318352.088646816, 715843.6141774413 9318351.448390147, 715876.3639770565 9318346.6388804, 715923.1758487399 9318342.67383546, 715955.8888166309 9318339.8995893, 715956.0405756363 9318342.044818047, 715959.276039704 9318388.25582253, 715961.2731453609 9318416.718866741, 715990.3923971187 9318415.04171307, 716020.1314468269 9318413.329094399, 716031.3652067464 9318412.67964677, 716032.1853329635 9318415.961687319, 716036.7577421989 9318434.239430044, 716036.7566671993 9318449.071894933, 716034.0606925145 9318474.676326636, 716040.8026070587 9318498.94105681, 716044.848235068 9318512.420364676, 716069.100325881 9318505.684111977, 716071.7446295032 9318517.387767656, 716078.5410193524 9318547.459193293, 716083.9262434857 9318573.06724145, 716052.9262967573 9318581.155470552, 716052.9265221672 9318605.422748191, 716115.9885521743 9318595.126711423, 716116.3427981456 9318619.326337134, 716116.4169700656 9318624.469314665, 716120.6877595861 9318635.94580514, 716129.1667836615 9318644.82974011, 716131.2759329361 9318655.495646192, 716094.7130164821 9318662.022556242, 716101.4478172696 9318714.591776092, 716056.0677904609 9318716.660245836, 716085.1202328464 9318796.534232061, 716119.2050167117 9318890.27105813, 716133.0515745096 9318898.737180818, 716180.2940658876 9318927.609868245, 716193.7744826054 9318935.845046084, 716223.9196384187 9318954.272557203, 716258.3363819007 9318975.305824088, 716262.929708504 9318978.109505152, 716347.3960434708 9318951.07748144, 716350.2156273547 9318950.171234995, 716462.5462058947 9318914.232604649, 716620.1277212815 9318850.03343042, 716678.1374472615 9318826.39394752, 716734.0400999223 9318762.522981156, 716742.0208848495 9318922.211462481, 716845.8264259838 9318922.217681916, 716845.8199118741 9319007.91672879, 716846.7053166891 9319007.858175516, 716852.0375104073 9319079.258146636, 716856.5062411077 9319144.6331558, 716860.3953893575 9319172.735420942, 716862.567250481 9319188.389534788, 716863.1473299867 9319192.612629307, 716940.422326721 9319187.78305797, 716963.9634330057 9319186.31404635, 716973.5813119451 9319185.714638693, 716978.3144178368 9319184.358906258, 717028.5761739786 9319170.005478598, 717106.9601097009 9319147.60704119, 717180.0911472505 9319126.70993354, 717214.4951602499 9319113.996286852, 717218.9023765143 9319114.334033987, 717281.2342966894 9319119.02695917, 717293.554789323 9319121.835351564, 717310.9794424535 9319121.837646874, 717324.9169602564 9319121.841699712, 717324.9100656193 9319128.998076258, 717326.0401562317 9319129.248319449, 717329.4491313297 9319138.095501307, 717328.4752694633 9319144.204655781, 717327.7936309979 9319148.498760937, 717329.5216920866 9319157.827739492, 717333.8466103115 9319162.87769188, 717356.8391145892 9319165.746377623, 717388.7916544301 9319169.743485983, 717452.9277649097 9319192.381342031, 717453.8031220329 9319192.599338055, 717476.3777587921 9319199.230202477, 717493.54421653 9319204.26607948, 717674.1059929184 9319262.666277999, 717683.8041032145 9319265.805025874, 717788.8883536274 9319297.07409527, 717835.5679177041 9319310.971501445, 717847.8362575644 9319314.620616602, 717865.9784236548 9319314.0338976, 717896.5843911356 9319313.058346732, 717936.7650825158 9319311.770960497, 717939.0453029803 9319311.696188949, 717974.5345171206 9319317.051527118, 717980.458863046 9319320.513853082, 718008.3939737547 9319336.758793555, 718023.5947434676 9319337.067743916, 718067.5085649602 9319333.42160217, 718091.1460514136 9319331.022683956, 718098.7335674085 9319332.189265622, 718108.8908472004 9319333.744556723, 718208.4376629522 9319301.267485784, 718185.8394245249 9319129.3543298, 718167.0340444343 9318974.283961724, 718164.0651343248 9318949.739787592, 718137.0539378581 9318724.994131269, 718102.2248187085 9318442.69449815, 718111.8745945179 9318082.273522045, 718115.7579831905 9318006.801892292, 718127.6375322668 9317776.62542433, 718127.8205672003 9317775.2310772, 718162.9644959102 9317510.934159953, 718171.6760426303 9317352.244678771, 718182.5435484141 9317097.206920298, 718182.5544134441 9317097.151575662, 718180.5734057137 9317019.566832323, 718189.7931919855 9316771.116339266, 718183.3011944623 9316387.394120457, 718145.6087892746 9316017.226554887, 718133.0879807001 9315828.928276721, 718123.6173117465 9315779.543380255, 718120.0877391323 9315738.21089362, 718121.6752496872 9315712.576940276, 718126.6165554548 9315677.90486437, 718125.6694054663 9315649.37129981, 718120.5361590034 9315632.301279187, 718112.0229718161 9315614.237257661, 718108.4186540039 9315552.76318416, 718100.7948926549 9315547.670280049, 718094.0248810161 9315542.95027802, 718081.3191784361 9315534.613265658, 718051.5743870358 9315483.721888993, 718039.653727664 9315457.231059559, 718021.7961592972 9315423.804960737, 718015.8240426385 9315407.379588194, 718014.1147382245 9315403.16067335, 717985.9614463713 9315327.686131176, 717977.4127505017 9315300.032468295, 717956.1262164685 9315252.372687468, 717955.273778759 9315249.367291436, 717947.5808585426 9315225.614945939, 717946.7198058519 9315220.286798436, 717941.5932594913 9315205.008624973, 717925.2555010924 9315124.68985831, 717916.6485342637 9315081.318919284, 717913.1439074739 9315049.686762782, 717911.1864851027 9314975.597237859, 717911.1741338794 9314972.267960964, 717921.1842453717 9314940.320203677, 717926.1886943718 9314922.692724552, 717922.7438287707 9314904.189603673, 717936.0231360941 9314840.429691475, 717888.7389535647 9314844.719789967, 717849.9315138853 9314854.298682472, 717800.9391942448 9314851.693060273, 717739.3302869083 9314864.729994485, 717698.8003213527 9314866.51725486, 717666.7064920021 9314865.629675113, 717633.7312262628 9314856.892136434, 717633.6411547692 9314856.48321853, 717623.936312298 9314812.519096583, 717615.7792278716 9314806.852984492, 717615.729590447 9314793.458472198, 717618.4308031038 9314787.553025687, 717612.1374472096 9314759.083584037, 717593.2547869917 9314759.595993662, 717599.2803152313 9314712.80837017, 717595.1440007554 9314698.864900418, 717604.7969172229 9314567.547829635, 717618.2872034351 9314563.648642998, 717644.4441334757 9314554.636618042, 717670.5814174309 9314543.312931959, 717711.0503146085 9314525.122587102, 717710.1857461102 9314518.843223816, 717694.7975839883 9314470.652817024, 717681.9367050076 9314417.420347992, 717675.1142989593 9314401.518012425, 717654.7360536427 9314368.842385968, 717613.2111376987 9314332.075237844, 717603.0392499418 9314323.36381975, 717587.7967793564 9314311.452493558, 717581.0008952848 9314299.708941918, 717570.6817433294 9314251.278536903, 717563.8559678621 9314231.471734036, 717556.2338049912 9314226.754890129, 717525.7844882512 9314212.521859888, 717516.4446686422 9314201.318660576, 717508.7297571006 9314168.596080288, 717515.4657460586 9314164.191009283, 717544.9629154075 9314148.530078601, 717545.7849355298 9314140.353059258, 717546.5076588487 9314108.38451058, 717553.1835855092 9314087.786563467, 717563.2610007528 9314071.036236791, 717580.9130549384 9314049.180877361, 717584.2412421207 9314036.249451265, 717581.6705262574 9314023.605367023, 717573.162165003 9314009.755553197, 717562.1110263014 9313987.80756406, 717556.1116623624 9313963.993673947, 717568.7910467306 9313962.353877086, 717582.2685932312 9313958.0454497, 717593.2134068799 9313948.348716589, 717587.2315200046 9313932.233118508, 717568.5118397091 9313893.058647987, 717554.1206906296 9313883.831978692, 717548.1702376985 9313873.20244942, 717545.5735619853 9313856.543373492, 717548.0207540126 9313832.908307806, 717551.3126853514 9313810.210279863, 717543.6635664672 9313798.215508629, 717527.5455317697 9313777.02740357, 717500.4285401354 9313753.911267815, 717502.8716288952 9313729.170137482, 717516.3449921396 9313717.782778244, 717543.3197471065 9313705.548936818, 717559.3670880132 9313704.704069598, 717566.9594389983 9313701.401881607, 717563.5475181516 9313691.758414898, 717553.3551574035 9313677.505610958, 717539.8045281402 9313668.06567974, 717516.0970448928 9313650.954017466, 717514.3618132863 9313639.733688796, 717520.2514969436 9313631.006942868, 717537.056760573 9313610.692157052, 717553.8965614649 9313596.704044446, 717569.9182147599 9313588.946223987, 717569.8948964548 9313582.663743326, 717563.8847612082 9313555.951958075, 717561.2911858507 9313540.133497655, 717556.9932239945 9313518.425926857, 717556.7491288857 9313518.27198088, 717555.0183249427 9313517.194441225, 717540.9054165359 9313508.35389478, 717501.9017752704 9313467.783642652, 717475.6613135573 9313451.157009248, 717461.2581649979 9313438.667448282, 717433.2632539498 9313414.581239883, 717330.2380941748 9313240.445395319, 717312.6249551713 9313210.049163869, 717293.9305125757 9313180.586054143, 717272.7205539634 9313153.344442414, 717249.8107781237 9313124.416824583, 717244.2845793618 9313117.723389413, 717227.7075019436 9313095.065901948, 717182.6322679004 9313017.010808865, 717179.5507426012 9312991.969440622, 717178.5550301522 9312971.2119426, 717175.4617763091 9312886.298309539, 717171.8339770925 9312830.366051873, 717171.4736020451 9312822.735411093, 717171.3169137114 9312822.271437105, 717170.9765917287 9312817.06304522, 717162.6340795374 9312797.140238395, 717147.5284714827 9312753.373232402, 717130.3377634046 9312687.602901163, 717132.4790961742 9312682.982590647, 717129.1588294946 9312683.10551408, 717128.6085345512 9312680.97281402, 716976.3746699832 9312686.691601904, 716946.6174111929 9312688.704348588, 716946.6358468701 9312708.613763113, 716943.4713521458 9312726.875848787, 716940.2051718854 9312756.530958243, 716941.1335827751 9312780.053889027, 716944.6801751279 9312826.07589418, 716944.690912128 9312828.973790066, 716943.0727309254 9312846.334216896, 716942.0296640608 9312848.627671767, 716919.2765131457 9312846.964356648, 716894.0969191967 9312850.652397132, 716883.5167328137 9312851.156140802, 716823.8253485042 9312840.33850886, 716773.7875774109 9312859.780650945, 716770.8438138878 9312859.946400087, 716762.3997724435 9312860.397969836, 716756.6746781034 9312850.785195738, 716745.2468509398 9312828.62844981, 716708.9565530715 9312758.261176554, 716704.5224461011 9312738.56722728, 716702.8013909414 9312731.14073406, 716691.6373362361 9312681.552209156, 716684.1658265128 9312657.65533699, 716681.4526344287 9312615.446275398, 716680.9944571741 9312608.291628556, 716678.3824655339 9312521.66198669, 716671.1320358955 9312461.805613933, 716650.0261760792 9312417.695828775, 716647.7822968299 9312412.56086099, 716626.0692178551 9312362.88974053, 716622.8747451731 9312355.125820553, 716617.7446995825 9312338.796942176, 716613.0525663526 9312333.117998395, 716612.4720327018 9312331.78179017, 716585.9907921804 9312318.673221415, 716574.8675973802 9312312.995960383, 716554.1282734792 9312290.13262203, 716514.5314376778 9312283.299805945, 716507.3292672967 9312287.297285534, 716500.1788793508 9312290.332282828, 716465.6134227215 9312306.078024339, 716451.3673299334 9312305.98693929, 716440.7117686102 9312304.035415586, 716432.6563774718 9312298.81133725, 716427.5420199193 9312286.707625687, 716425.819810774 9312278.96037973, 716419.8222467719 9312255.511561064, 716418.0931448424 9312242.90865239, 716412.8923344404 9312207.43380457, 716412.0282743301 9312201.265078178, 716406.8058171516 9312159.939151919, 716404.2072730563 9312142.704988316, 716396.6993693805 9312129.880122483, 716396.6771090681 9312129.847022455, 716393.8661313143 9312129.9901512, 716391.4874495644 9312130.297592446, 716367.8508083065 9312132.077331088, 716328.8558263264 9312135.296460908, 716307.0677965502 9312137.102519337, 716287.4834347611 9312139.165879838, 716272.4577299713 9312140.758886384, 716254.5255601074 9312143.61250284, 716213.3844433575 9312150.157720255, 716154.2823082341 9312154.745156512, 716115.4418572934 9312157.841896238, 716100.2483683826 9312158.959862174, 716094.2408496543 9312159.745248968, 716067.3342043742 9312163.251359537, 716050.4514452158 9312165.5258718, 716043.6901888889 9312166.02645678, 716028.97502817 9312167.78416123, 716020.89826443 9312168.743093232, 715939.0246950528 9312178.59082756, 715928.0491836676 9312179.903330034, 715927.184196522 9312173.469157815, 715921.490737582 9312169.375569282, 715898.4568657012 9312169.515891187, 715857.9548102032 9312178.259573402, 715850.3525366944 9312178.81854229, 715850.3524958815 9312178.80748168, 715824.8604779497 9312136.71580617, 715820.4646958333 9312130.327846024, 715790.0504842986 9312086.163847305, 715786.7864124661 9312080.501721479, 715773.1508432984 9312056.84882657, 715769.6528619541 9312050.789376514, 715749.337599934 9312037.735205205, 715723.9176267848 9312015.143368348, 715675.4296902666 9311917.390318125, 715669.0610715928 9311907.293220904, 715664.3847675237 9311899.866583485, 715640.6774803143 9311882.444852065, 715625.4259152305 9311870.787765058, 715605.0237942229 9311834.15238083, 715595.4731396066 9311807.608625548, 715574.3140049132 9311748.777118433, 715570.9682593821 9311738.96751416, 715549.5508803243 9311676.132975234, 715535.0573721002 9311638.90065231, 715522.2457105755 9311598.49875697, 715495.7865136737 9311525.141934218, 715494.0867111346 9311520.436326172, 715490.6796678039 9311512.009543572, 715490.2533102077 9311510.45155119, 715479.5671881589 9311476.136293292, 715449.7305248464 9311399.352046195, 715442.9084456756 9311368.318645677, 715430.029803617 9311309.733157892, 715427.3955081715 9311297.741970472, 715418.0466616641 9311250.856792783, 715416.2085943997 9311241.672097478, 715406.7806769535 9311203.359285934, 715402.5488190498 9311154.35370299, 715402.3750818878 9311152.26386431, 715406.450809238 9311113.91231626, 715417.3300204984 9311086.552167272, 715420.6321571239 9311066.542171521, 715422.4469811592 9311057.42142834, 715428.9237379025 9311024.845780835, 715428.0092091685 9311004.973005429, 715425.1279025881 9310989.034048289, 715419.3880391819 9310957.321961962, 715409.5664352465 9310914.30979916, 715407.3725394066 9310904.68398941, 715404.6541405951 9310893.898737233, 715384.2317329304 9310812.677655471, 715382.0795121572 9310799.346346047, 715371.2622096268 9310732.457733281, 715366.0986424207 9310703.940082606, 715346.4215375143 9310635.712634778, 715342.9917890707 9310624.122577108, 715342.9581756915 9310624.01209377, 715328.8822970801 9310579.920632439, 715328.8822562705 9310579.90957185, 715318.2217989209 9310546.52336349, 715317.760729958 9310544.556253856, 715316.501479368 9310539.251747312, 715316.3102148689 9310538.411837164, 715289.0548051507 9310423.160004804, 715273.636270925 9310363.146054005, 715266.9201210841 9310324.812214429, 715264.715221993 9310312.20005444, 715260.9162984698 9310290.54609738, 715259.8308393353 9310284.345031835, 715254.5579877329 9310229.204616822, 715252.2972091434 9310219.446333049, 715220.7740172992 9310225.41378037, 715180.2880962898 9310238.128134564, 715154.95926702 9310240.013403459, 715130.4539296587 9310237.095269132, 715085.6410485855 9310220.016860146, 715070.4105631337 9310213.94537971, 715045.8778660692 9310200.597056536, 714975.4274977837 9310161.690758483, 714962.1071359471 9310154.329174588, 714938.4166278779 9310141.232114002, 714930.9627852465 9310136.934844393, 714925.7162248229 9310133.901422054, 714910.4879311861 9310125.407607965, 714878.3315522138 9310106.700764004, 714848.6863001469 9310084.600080678, 714844.6584699549 9310078.8854724, 714838.5065320197 9310070.446694354, 714834.9710281708 9310030.121316498, 714838.2487124867 9310000.466542255, 714847.5449017496 9310003.120043244, 714898.2209350851 9310007.412893156, 714951.4508909375 9310013.919490866, 714963.2648099891 9310011.973497659, 715001.2723621993 9310014.576430537, 715037.625228609 9310018.68969971, 715041.7933954275 9310011.429556696, 715045.10013999 9309989.683045574, 715040.848721453 9309983.371992316, 715039.138522594 9309975.834887965, 715039.7815016613 9309922.088474708, 715039.5653282602 9309911.493101444, 715037.7071358429 9309818.822174275, 715043.5483446326 9309800.030582752, 715046.9003843516 9309790.572360717, 715049.3280143169 9309764.559647596, 715046.3665895418 9309750.888460005, 715045.037889746 9309744.754661314, 715048.4606066905 9309700.454902358, 715051.2706127793 9309664.087939762, 715056.3200933054 9309598.722556464, 715057.2874685936 9309566.93046802, 715061.503667533 9309428.755406909, 715061.4624237792 9309423.579140268, 715060.4302177567 9309302.877266178, 715060.1864805091 9309290.821976285, 715058.6863463041 9309214.276239531, 715058.1812173673 9309188.384947872, 715059.231147324 9309074.068476496, 715059.9863647722 9308990.8558487, 715060.9865289956 9308920.030326124, 715062.6584095911 9308800.347090011, 715062.2483879338 9308794.220962329, 715055.2554563468 9308794.81089576, 715053.4756895275 9308768.448699927, 715052.5920578032 9308756.959870106, 715050.850586943 9308743.958890365, 715047.3248901293 9308703.390112935, 715047.2294204133 9308677.552609267, 715047.0399826064 9308626.286842616, 715050.8497984662 9308599.97035572, 715051.9830013369 9308592.135173272, 715062.1396334344 9308528.17769246, 715066.1450533605 9308512.865900902, 715068.5025867148 9308503.886936162, 715029.4693137751 9308502.007091844, 714995.6778709162 9308498.913294908, 714976.24375276 9308493.344135052, 714943.2418462734 9308476.266641794, 714931.4058642394 9308472.151536325, 714914.510222819 9308470.621206041, 714885.793438305 9308468.990743509, 714823.3082288506 9308470.482415747, 714807.2658564112 9308469.225422664, 714804.3247560038 9308464.048807126, 714798.7656922607 9308454.280600788, 714787.7202248784 9308436.436208818, 714785.1440065738 9308425.163794063, 714759.765027618 9308413.234494025, 714746.2356038508 9308406.106036726, 714725.8689444654 9308378.761718143, 714627.0915344707 9308386.249330202, 714562.9364038686 9308391.06511969, 714507.2120070031 9308395.020196913, 714465.0038900125 9308396.547342347, 714445.5850984218 9308398.101060847, 714419.4171410783 9308400.299047569, 714394.0913685864 9308402.770435411, 714356.949104558 9308406.39142145, 714307.9907182899 9308411.261526495, 714294.4802608754 9308412.2625136, 714280.9808719108 9308413.26345666, 714256.4939076458 9308415.090172041, 714183.9070336891 9308423.475993546, 714175.4654933066 9308424.402986143, 714109.5212194399 9308403.188017372, 714051.9942478223 9308374.442884266, 713992.7792041678 9308347.130747596, 713984.8697554688 9308345.268470248, 713983.7605644764 9308341.611470606, 713969.6823418287 9308341.70749992, 713917.5621010883 9308329.467011828, 713855.0963805317 9308333.12550228, 713795.1146177474 9308344.08588564, 713737.1426851042 9308347.783029232, 713721.1140353762 9308350.219961325, 713682.2953945609 9308361.456398731, 713675.5621130342 9308363.405684326, 713656.1462781851 9308365.744431624, 713626.8571269127 9308364.900783837, 713602.1683813592 9308384.093172746, 713540.0031262253 9308400.248718578, 713504.4090526546 9308409.504386615, 713483.97294942 9308414.313335469, 713469.3790597888 9308415.63886085, 713433.9288201976 9308388.681443712, 713407.6236211221 9308353.439235916, 713400.0525127498 9308344.2313853, 713400.0415977298 9308341.256115908, 713386.9336230833 9308328.252659857, 713379.6293264553 9308319.364587974, 713370.0100936736 9308306.989849102, 713360.8210832699 9308291.206858397, 713358.2481773137 9308286.792045187, 713345.1508603102 9308279.705982484, 713344.4867478866 9308279.697357805, 713333.0104065618 9308270.96837493, 713316.0811775855 9308260.213174278, 713302.5518679781 9308256.04869463, 713302.4194593204 9308256.159786465, 713265.6950104522 9308286.124955017, 713219.2046169336 9308324.07847264, 712996.0293599315 9308354.317322029, 712944.0576726154 9308361.365171075, 712935.6026551754 9308358.597788917, 712855.342200582 9308344.756084634, 712788.6169297444 9308342.732786685, 712737.1117065579 9308341.129358336, 712657.7345458067 9308341.795662438, 712648.3955752726 9308336.399055934, 712647.5747764513 9308335.915390767, 712640.8710264282 9308348.969266437, 712631.6570354357 9308368.679727267, 712630.5392928869 9308377.79773437, 712628.3792590116 9308395.480443113, 712617.4441005436 9308407.59856771, 712608.1823980102 9308417.288305415, 712605.7254201286 9308435.491943063, 712620.1581139162 9308456.697639173, 712624.4100126233 9308466.27162612, 712622.7727343304 9308481.629699554, 712606.6073872164 9308516.319456965, 712593.4510531818 9308544.549890798, 712583.4141430181 9308569.273777697, 712584.2797480968 9308575.962266726, 712607.0994166345 9308581.309640378, 712615.5569382671 9308584.76282212, 712618.122519961 9308593.247975439, 712617.3705904855 9308617.672489291, 712613.1796332791 9308627.808234341, 712603.0754677688 9308634.1275599, 712588.7369829197 9308638.714779623, 712578.6286546963 9308646.925473932, 712573.6134963655 9308661.709667454, 712569.4293933527 9308670.695080543, 712534.8513970764 9308682.4239145, 712530.6369118836 9308686.12247748, 712539.1886314165 9308715.36859654, 712534.1334687693 9308716.172357801, 712493.6250700725 9308725.445243265, 712473.3734352088 9308729.268712407, 712460.7157966791 9308730.42097637, 712435.9099668901 9308732.812120713, 712435.8988989899 9308732.81216111, 712415.9718330511 9308734.588218188, 712404.1378786203 9308730.948236428, 712379.2946094805 9308720.044689635, 712377.9199711265 9308719.441374486, 712370.3043837124 9308716.195235394, 712335.6611054094 9308710.039233878, 712334.7549379873 9308692.22396868, 712337.1309292741 9308648.75833669, 712336.256547337 9308642.689276343, 712322.7264212762 9308635.250639701, 712252.8072485989 9308610.287619837, 712244.9387383938 9308607.484815776, 712217.8938122942 9308599.82999935, 712212.8052910061 9308594.517367128, 712207.6706269793 9308576.551623955, 712201.7549879416 9308575.091082327, 712179.7902369227 9308573.489973739, 712174.6768552994 9308558.322474508, 712160.1870361726 9308521.399869496, 712159.3304567842 9308520.20845281, 712158.4849855943 9308519.028056182, 712154.5282011093 9308517.51612704, 712154.2511421448 9308517.41759227, 712133.9837907363 9308516.905279238, 712131.4336902647 9308512.645202614, 712126.2710857317 9308483.972947143, 712118.6655496543 9308483.469769469, 712036.7650412035 9308487.197076667, 712024.9520987098 9308489.297388477, 712008.9398054727 9308496.213277305, 712007.9401922203 9308455.76849826, 712005.1451439057 9308381.252715338, 712004.93774718 9308324.346953653, 712049.6752096693 9308321.540409653, 712046.0044121919 9308240.601623604, 712045.9838464963 9308234.960817832, 712042.4220292718 9308183.91830308, 712037.0295521263 9308095.232350454, 712036.482708503 9308087.923320608, 712035.2507629271 9308071.812590826, 712028.4758022769 9308065.355813451, 712010.7175671023 9308057.821968783, 711990.1569699856 9307976.834176758, 711990.9390738313 9307960.638682192, 711990.0558213266 9307949.09469041, 711987.4203630912 9307921.419748101, 711976.3408042261 9307893.930445947, 711969.5387239107 9307880.030020198, 711957.6547316335 9307862.60875018, 711949.1554682454 9307847.66376113, 711931.4290451686 9307848.83444858, 711885.0193809891 9307857.343287652, 711827.6248513239 9307867.36316823, 711728.9008798518 9307885.917421008, 711650.4593189545 9307909.197914599, 711599.0629556954 9307940.343428005, 711563.6608607824 9307959.67334148, 711495.4229903497 9308001.000391945, 711463.4457300281 9308030.81419472, 711434.8788308618 9308073.213495437, 711418.94313497 9308101.166056564, 711373.4990461313 9308143.947416626, 711369.2889571078 9308145.809824763, 711354.1075919671 9308152.932669153, 711338.092018747 9308155.877667533, 711317.8292125943 9308159.601269756, 711287.4376715167 9308162.87500286, 711290.7958862416 9308158.062541723, 711297.3377073845 9308097.338710144, 711302.2871715147 9308067.46841499, 711307.2233346619 9308030.89549803, 711309.664337776 9308005.159884607, 711317.1096921253 9307961.620782763, 711322.0247779726 9307922.304927813, 711312.2288490308 9307919.01132314, 711309.3323170627 9307913.812352302, 711310.1096158822 9307896.245439077, 711307.5576700273 9307891.454454733, 711285.5757847731 9307881.98913746, 711242.4396246172 9307862.369725652, 711216.2104137053 9307850.59711812, 711179.0002888065 9307832.272338942, 711158.704398012 9307823.807366867, 711123.2872960358 9307808.528746307, 711102.0361545765 9307799.116026508, 711091.8920295192 9307794.407915946, 711062.2773062497 9307779.904550627, 711033.5236039273 9307767.820296343, 710982.7795683652 9307743.903716145, 710943.867897089 9307726.326059423, 710899.0549298078 9307708.139352065, 710805.9903472337 9307660.474522607, 710796.7088447443 9307661.669542022, 710797.7538112293 9307641.579920225, 710798.292012084 9307631.291721608, 710798.8188972785 9307617.884508595, 710799.8324865291 9307592.198396886, 710788.8201795191 9307583.069209654, 710755.0013145681 9307568.945990643, 710745.1793890055 9307561.504733725, 710743.9918687564 9307560.602081852, 710736.3404255791 9307547.390443347, 710721.8761916099 9307517.225683773, 710713.3660520655 9307499.172671586, 710709.1215518715 9307491.534216898, 710709.614284833 9307480.914373571, 710709.9014713421 9307474.653102944, 710699.7140481423 9307461.030365016, 710688.671536053 9307443.561682858, 710689.4868330375 9307433.383089637, 710695.3808180552 9307428.926462589, 710713.9435341855 9307423.42844012, 710718.9960277518 9307421.928009244, 710725.9376556078 9307416.427893007, 710729.0832276742 9307407.922036143, 710733.2425452698 9307392.079404946, 710741.6459514841 9307380.71192909, 710756.8045667054 9307370.425989185, 710793.5793546386 9307345.163135165, 710805.6572961733 9307336.868182998, 710815.7132262439 9307314.257241916, 710815.6638476567 9307300.65302807, 710808.9111284985 9307300.257239642, 710766.6907926167 9307301.040913502, 710760.7587385928 9307295.001297211, 710760.7200477164 9307284.339135822, 710764.817163884 9307251.364039447, 710768.9017740277 9307211.896484703, 710780.6435940879 9307190.285931224, 710789.992427278 9307171.073122932, 710783.9286129712 9307165.321562827, 710767.0375163619 9307164.807727698, 710733.2491874578 9307162.087812142, 710728.1740812205 9307157.350224104, 710726.4353987944 9307144.858193979, 710729.6626696007 9307103.97801642, 710732.3261896492 9307099.887033354, 710743.937958143 9307082.092820868, 710750.6484830424 9307067.822566554, 710747.2287125845 9307058.710084233, 710732.799762652 9307038.256329585, 710722.6186277745 9307023.306335155, 710714.130310471 9307011.259102002, 710714.0057030809 9306976.927832127, 710718.2053846767 9306972.222946012, 710727.4999256035 9306971.603003088, 710770.559975375 9306970.495481672, 710770.536242903 9306963.95882362, 710765.4238956276 9306952.009944696, 710762.7928448066 9306943.702015752, 710761.1470949785 9306938.520625556, 710759.389386968 9306917.744364498, 710762.652757043 9306886.829532873, 710769.8315956848 9306885.719539182, 710775.2937976401 9306881.242331116, 710781.1869287137 9306873.522836233, 710776.9317724403 9306865.99503955, 710762.5328776194 9306853.8144329, 710744.746934688 9306838.482825328, 710744.7107109483 9306828.506403958, 710747.1867604651 9306812.415475363, 710755.6070747178 9306805.737550966, 710772.4653898312 9306800.300937345, 710785.9875228994 9306802.674074616, 710790.2432408299 9306810.356714461, 710797.8971439758 9306824.254064418, 710806.5632296731 9306830.394339247, 710812.2777048997 9306834.432781484, 710824.9614159744 9306837.550010273, 710832.5406650319 9306833.938882552, 710834.2092751865 9306827.130623022, 710829.9240602455 9306811.329695448, 710826.6040273206 9306805.30273073, 710818.0256545476 9306789.793910466, 710815.462125134 9306781.795431644, 710812.0503201409 9306771.831268027, 710806.8599645826 9306735.361585034, 710812.2917099773 9306719.458998382, 710812.7059638224 9306717.720997475, 710814.7756073017 9306711.63021254, 710820.7281351592 9306692.850005602, 710811.7374518842 9306685.704413543, 710766.8898253923 9306657.762637343, 710760.1172762787 9306654.933632266, 710744.8974277079 9306648.297320126, 710741.4964024068 9306641.29732763, 710736.3488004565 9306619.637481645, 710730.3884383179 9306605.789287005, 710720.2426134599 9306600.550285958, 710702.4634684809 9306590.118458502, 710692.2757184964 9306573.33246749, 710676.9980274778 9306550.75820889, 710671.8916560346 9306540.446265867, 710675.2308180575 9306530.413348293, 710680.2992745875 9306530.284338016, 710698.0694198479 9306541.291343201, 710716.6646256994 9306547.871156638, 710732.7037323609 9306545.445958233, 710752.0923151957 9306535.830335267, 710770.6363394111 9306528.31926383, 710781.6190392557 9306529.34116912, 710796.8593390572 9306538.565542644, 710806.1492396374 9306542.779014193, 710806.1603070201 9306542.77897398, 710812.9226252211 9306545.840277843, 710828.1225688532 9306547.001698362, 710830.637426857 9306541.606102867, 710826.3730441636 9306528.492802534, 710822.0760920077 9306509.462260902, 710824.244080812 9306503.028240139, 710828.7551246446 9306489.606537342, 710821.935050722 9306470.651528712, 710823.4725450084 9306458.22501537, 710823.4059800041 9306458.181015344, 710825.2095851091 9306442.844626697, 710829.7017009481 9306430.307829749, 710832.3890454455 9306423.650709966, 710841.9935432888 9306413.937874211, 710850.1615211588 9306407.891279103, 710873.5348263326 9306395.36326213, 710877.3365490565 9306387.761945203, 710878.2085382872 9306387.117266625, 710877.5919212799 9306381.898957351, 710877.6002325767 9306375.052484125, 710878.130125839 9306365.549597071, 710880.9834126583 9306364.964077823, 710885.4250819307 9306365.954433419, 710889.9623278046 9306368.880027015, 710922.981470959 9306394.541970843, 710929.7418206658 9306394.01966547, 710931.760987928 9306395.361702943, 710933.0667022561 9306392.248956295, 710937.323340124 9306388.008368524, 710940.6574563198 9306376.60393558, 710940.6211745385 9306366.62750264, 710943.9571539785 9306346.606937628, 710961.5642853491 9306337.13041803, 710973.3179081251 9306327.984877864, 710987.7331241132 9306320.322818745, 710995.0076750942 9306321.203315418, 710998.121384019 9306322.23167451, 711021.1467913378 9306335.774437165, 711029.9663087183 9306338.463230869, 711035.9423607311 9306341.394640133, 711054.5325904655 9306346.602854157, 711069.7354845613 9306345.541025635, 711077.3261663825 9306345.093102757, 711094.8653220008 9306344.310338186, 711114.5898662703 9306347.96593604, 711123.598549814 9306353.972180083, 711135.6617132712 9306362.975761808, 711144.1010086493 9306364.581995621, 711150.8432014555 9306359.071440928, 711150.8975719579 9306358.805790858, 711151.8272310863 9306358.802406484, 711156.5</t>
  </si>
  <si>
    <t>Central Jakarta City</t>
  </si>
  <si>
    <t>POLYGON ((702582.5505558733 9321484.717731504, 702582.940452208 9321478.95416317, 702582.7364987492 9321419.253223576, 702579.5284946111 9321222.286381574, 702578.5547224414 9321183.52456495, 702579.054834002 9321083.695693983, 702587.2972893431 9321024.076473864, 702587.2873458611 9321021.167739222, 702595.6678918177 9321001.950063841, 702636.7924774408 9320927.59712527, 702671.2899411988 9320886.712120803, 702688.3621291043 9320874.532001816, 702691.5976616456 9320872.220460793, 702691.9399878604 9320871.9759705, 702742.0521963006 9320836.213543445, 702779.1588102151 9320820.27079657, 702817.9599335856 9320804.576598616, 702824.7125953338 9320804.608780432, 702828.084855791 9320803.435938094, 702843.2773697102 9320798.373754753, 702843.774934897 9320798.206151534, 702857.6184297133 9320793.579921642, 702864.3631383511 9320791.289531436, 702880.3896581298 9320787.33047817, 702892.2059308966 9320782.279842049, 702945.3138872358 9320755.04522539, 702978.2037724094 9320739.37114761, 703039.7207131187 9320701.290943434, 703081.8323640687 9320666.451404387, 703133.1935541345 9320620.553288784, 703159.2628208381 9320588.290359702, 703159.428030255 9320588.046473177, 703208.0065919147 9320518.4009327, 703253.2909436983 9320424.32403197, 703270.0025732738 9320371.676373955, 703284.1803699402 9320319.369202044, 703291.6902303707 9320294.922935888, 703291.5927139472 9320298.761090484, 703291.2122357341 9320313.682335913, 703289.451944042 9320381.320273839, 703292.0917247209 9320411.847866636, 703310.0381206789 9320473.799663376, 703326.5048938039 9320517.485424407, 703358.6229621182 9320602.691992411, 703397.7924512457 9320694.322337242, 703412.2676609848 9320728.60288363, 703423.3407190478 9320758.570652032, 703426.7475919025 9320764.254855527, 703430.1443071626 9320770.20453402, 703430.995019832 9320772.944493962, 703435.0280377651 9320770.773943428, 703435.6246976919 9320770.4511543, 703447.856319943 9320763.861625016, 703448.0993965346 9320763.72807014, 703461.4795635307 9320756.349332174, 703483.2568600744 9320744.340783255, 703483.466765569 9320744.218402132, 703599.5904541725 9320680.279615222, 703600.4745052792 9320679.834175851, 703604.6405769828 9320677.729512673, 703651.8474471765 9320650.304280246, 703735.4559371381 9320604.803373069, 703774.2934632812 9320583.666771961, 703827.185356671 9320554.872467477, 703839.8348893567 9320547.507189875, 703841.1163022728 9320546.728577143, 703846.8165848681 9320543.324587105, 703954.4587768533 9320478.97165914, 703957.3310901097 9320477.280640425, 703986.4853210327 9320460.191997122, 704042.1136935361 9320428.888438417, 704046.3329904308 9320426.175248269, 704057.0573922785 9320419.1151629, 704060.6469010715 9320416.747003088, 704004.6411236553 9320338.513259461, 703974.9460744492 9320298.213260233, 703959.6397934936 9320266.999273045, 703955.3428851337 9320247.183431903, 703956.9738442097 9320228.984051604, 703964.5321355565 9320218.67217316, 703981.3510614897 9320197.35682188, 703993.0912275772 9320173.48197714, 703986.3006319125 9320162.43428185, 703928.6394665192 9320095.23312353, 703871.853299527 9320034.565412004, 703861.6320228035 9320010.921096034, 703861.106915526 9320009.518280983, 703828.3815095342 9319921.748011224, 703807.9426524312 9319872.30266659, 703780.7612171334 9319825.722978503, 703756.9845067353 9319787.404462948, 703741.6397026591 9319744.953634003, 703745.6496369924 9319716.82523309, 703747.4005644573 9319704.531511467, 703753.1368733345 9319650.560936041, 703757.2885706967 9319631.457024315, 703837.3188245861 9319572.806387953, 703895.4709401565 9319538.529939383, 703919.9063416631 9319520.67219748, 703993.1914338187 9319467.41969793, 704003.0902716196 9319458.55963071, 704003.2999422706 9319458.37088655, 704123.9213709281 9319415.605646593, 704148.4734230549 9319434.765361337, 704167.0938146992 9319444.776770763, 704238.9746686082 9319472.167588102, 704278.697600228 9319480.093143322, 704341.2217132464 9319490.583235174, 704391.0861604295 9319499.004557358, 704398.6939834547 9319499.874124115, 704452.7603489796 9319506.9757859, 704589.6487935102 9319526.642704869, 704593.0257140084 9319526.841162333, 704684.2919796922 9319542.03154618, 704702.8740586439 9319544.123938467, 704728.2305933847 9319549.367115356, 704755.2761739172 9319553.277224148, 704755.5862731251 9319553.320390739, 704758.4767532501 9319553.697485102, 704787.3816354196 9319557.490541495, 704806.8055894682 9319559.745889567, 704831.3177675679 9319564.09608424, 704911.5939507786 9319576.625556542, 704914.9712639838 9319576.934596425, 704988.5139702151 9319594.928875016, 705003.716066417 9319595.926887268, 705060.3290928744 9319603.118755696, 705092.4392166551 9319608.648058625, 705111.021023906 9319610.640793564, 705188.7482809646 9319619.075466983, 705211.5773191222 9319626.42864985, 705256.3753255854 9319635.718523946, 705280.6063160696 9319638.753374495, 705298.0929242095 9319640.937878931, 705410.1446920014 9319654.960145386, 705439.702682251 9319652.32471114, 705455.6654421203 9319655.58729738, 705545.9001514233 9319606.244209211, 705656.1438481956 9319545.948179465, 705658.9460599422 9319546.40295946, 705736.0116804722 9319558.688143076, 705803.144330412 9319566.78283056, 705876.0675815577 9319591.093586214, 705924.6830148047 9319657.075083196, 705928.567972915 9319752.311576117, 705951.8420791785 9319757.074892038, 705951.8642183894 9319757.074814957, 705955.9543086322 9319720.462530013, 705951.5964939926 9319680.18556916, 705943.0036641122 9319638.076311184, 705931.8821441059 9319597.76760519, 705919.9377152451 9319562.737458752, 705907.1495655638 9319530.187725458, 705890.9849197632 9319494.387006458, 705871.438668112 9319460.223905021, 705855.3195141652 9319440.659326399, 705841.7805190444 9319430.896113863, 705975.2108029649 9319353.607580518, 706044.4225002511 9319313.505577669, 706054.1773092733 9319307.85301436, 706059.2298378699 9319306.043656135, 706082.0038392723 9319297.580661768, 706178.9389791832 9319243.080997739, 706237.9448387463 9319209.495547099, 706285.7519793684 9319183.348361785, 706363.5448660852 9319140.804785764, 706407.3786365719 9319118.033637544, 706413.2790554197 9319114.949358448, 706463.0113557419 9319088.562993605, 706487.4569754627 9319073.822833862, 706526.1157833395 9319052.684438251, 706544.6993983714 9319042.521531522, 706580.1605664698 9319018.651338039, 706580.3041993403 9319018.573414538, 706684.6869341136 9318963.637368865, 706686.5985913454 9318962.668444246, 706713.3612069917 9318948.937590152, 706742.0121690042 9318930.742851347, 706800.9909192248 9318892.721595779, 706803.0567715976 9318891.530922242, 706838.9160485301 9318870.755976893, 706876.0109511046 9318851.956452033, 706911.4232732591 9318833.162790252, 706940.1100573051 9318815.74200833, 706950.1840779227 9318809.612537626, 706976.3116749676 9318794.755606899, 706998.2341528065 9318783.441606311, 707025.2153600481 9318768.94664225, 707196.3047665991 9318670.364170887, 707231.6934299665 9318648.0310612, 707269.6146108331 9318625.014359033, 707398.5667766731 9318546.874488404, 707479.4658805509 9318497.173104921, 707489.5729394923 9318491.021271277, 707511.4735553012 9318473.535473963, 707519.3592241762 9318468.408983331, 707555.9600705288 9318444.57820897, 707592.3621079547 9318420.880824799, 707632.8036727812 9318393.795823922, 707686.7271805095 9318357.05198863, 707701.0675526457 9318352.256681982, 707755.986732282 9318359.396370227, 707839.669758989 9318377.395467672, 707868.4014826266 9318385.42359773, 707908.9871241282 9318396.130795212, 707973.2322066992 9318414.16500646, 708017.5141374199 9318424.582612827, 708031.5509702939 9318427.884414883, 708051.404153194 9318432.548251506, 708055.3925171329 9318433.485379782, 708063.1809475627 9318435.327118425, 708089.8697387215 9318441.592713773, 708098.0225298686 9318443.167717485, 708114.5385516128 9318446.35016096, 708129.4436175002 9318451.009297095, 708133.3222653933 9318452.223314716, 708149.4146123877 9318454.544541338, 708165.5731116303 9318459.929229409, 708179.761011683 9318465.254500866, 708191.336937099 9318467.569522396, 708175.5049466396 9318444.907524068, 708163.3519139751 9318432.750883063, 708156.0567952911 9318423.264761383, 708148.7434282622 9318408.602491252, 708127.5726355441 9318366.172469085, 708095.881923794 9318310.097969245, 708021.461540712 9318200.310540477, 708001.231052569 9318176.513771052, 707983.3847542288 9318153.91416661, 707970.2995241431 9318125.358414257, 707947.698353216 9318088.474632291, 707927.955409242 9318064.79780251, 707925.2685463672 9318062.517794553, 707909.6247218542 9318049.22317297, 707884.3534983854 9318030.520818302, 707884.0393467385 9318029.327416072, 707899.2438594223 9318027.902369173, 707890.746237619 9318013.266393252, 707845.6455144765 9317918.01942404, 707824.3562068659 9317866.995997252, 707792.7402498208 9317762.88650041, 707779.044916576 9317711.935870273, 707758.4802524257 9317627.78441299, 707702.9131292404 9317436.538110107, 707651.5588906236 9317243.949777229, 707606.9593914318 9317048.871250037, 707597.5339075866 9317009.618429823, 707594.0774808758 9316986.835420055, 707587.9791078042 9316936.80924807, 707584.5114160895 9316910.829865092, 707582.527138779 9316856.619479436, 707581.7076223289 9316834.523974575, 707574.6543023242 9316749.108350907, 707561.4944882225 9316608.236009326, 707556.1543137173 9316531.518775618, 707551.4374061894 9316392.983570967, 707547.4073135311 9316336.22548404, 707537.228461388 9316193.208020288, 707527.2437514418 9315995.419485312, 707524.4110658664 9315910.995476296, 707515.2671979523 9315713.14867824, 707512.54309588 9315659.516043445, 707514.2082795147 9315654.610472169, 707509.8996354574 9315628.733616503, 707509.8994793093 9315628.68937602, 707508.143514205 9315611.010222064, 707506.2989114095 9315565.083483458, 707506.969458906 9315516.725669928, 707506.0137076536 9315484.289307658, 707498.1008796502 9315396.93014594, 707495.4208457996 9315355.795449253, 707478.0359585935 9315215.999877224, 707474.5832199985 9315194.278663868, 707470.2730812269 9315167.981532179, 707467.7065967132 9315168.410884777, 707455.9251662153 9315170.399091294, 707450.859000644 9315171.36816167, 707387.5567016986 9315181.092398316, 707341.136064522 9315188.102528745, 707314.9720669388 9315192.099121822, 707296.3971862956 9315194.907601243, 707276.1363326346 9315196.726599915, 707231.3988106719 9315200.777613347, 707174.3009298358 9315205.867596677, 707173.9800120372 9315205.890848717, 707135.1440081787 9315207.299699392, 707087.0010437429 9315206.142171945, 706935.8277079324 9315201.664509939, 706918.9211300412 9315197.299962057, 706884.2815559312 9315192.776648842, 706739.8253887878 9315181.472813588, 706729.9481355024 9315180.401546925, 706704.3470540971 9315177.638086105, 706604.657904383 9315167.503648248, 706591.9484939456 9315166.851546833, 706586.0809515757 9315166.562492883, 706548.908402168 9315162.523490818, 706530.3257418846 9315159.956488796, 706516.8122447868 9315160.424278952, 706484.715317576 9315158.103848973, 706457.6731728907 9315154.725980818, 706454.297003622 9315154.6825439, 706377.4059862747 9315143.40584827, 706292.9003455543 9315126.02845452, 706278.0289501875 9315121.203129306, 706157.6282589899 9315082.096667077, 706084.8797405418 9315046.284682166, 706051.0408360881 9315030.111750131, 706037.5038894913 9315023.877054006, 705999.7259645571 9315004.963933783, 705997.7411734206 9315003.97547896, 705947.8073423196 9314971.76639847, 705943.5827968017 9314969.679778729, 705940.1855736991 9314966.782865545, 705917.8093721301 9314949.26458914, 705877.5301014481 9314917.751595777, 705877.3193310356 9314917.619612614, 705870.7521264821 9314913.495070776, 705866.5310781075 9314912.403850261, 705844.5299376547 9314900.823552493, 705816.5872766845 9314880.460181592, 705742.9470923739 9314830.095865082, 705711.6272476974 9314809.368251875, 705627.8448562389 9314758.032901984, 705617.6838202818 9314751.742077904, 705617.594961258 9314751.653907856, 705602.4426118482 9314739.242176414, 705545.7288036312 9314702.046379955, 705540.646243678 9314698.314782966, 705539.8917181394 9314697.786537308, 705528.795596641 9314689.972676927, 705493.2270702149 9314660.20160585, 705489.8432043423 9314657.946120178, 705482.2218734854 9314653.062091203, 705454.2972079314 9314634.600901796, 705448.3765811548 9314631.768104887, 705433.1385809164 9314623.327240448, 705417.0642092873 9314613.108617134, 705412.8208299717 9314608.787889803, 705400.1011459064 9314592.485507905, 705395.856530892 9314587.810859967, 705372.9924848464 9314569.962369502, 705338.2868832694 9314546.34872672, 705322.2149128877 9314536.804748481, 705313.7557681479 9314532.88586894, 705246.0072049797 9314479.956745755, 705227.3898952322 9314467.369056048, 705184.1911640931 9314430.07049538, 705119.8597115732 9314385.678825459, 705116.4611381247 9314382.372666644, 705107.9972031453 9314377.071269223, 705107.74193074 9314376.873079179, 704970.8201061216 9314268.48674045, 704950.4965483755 9314252.210881703, 704924.244339177 9314230.779592691, 704883.5768588074 9314192.377125693, 704869.1719807676 9314181.555338938, 704862.4040152853 9314176.944785777, 704826.8740619043 9314158.023335127, 704820.1092311423 9314154.30863682, 704810.7951353061 9314149.596368175, 704810.9488585186 9314149.24190799, 704814.5500532336 9314140.845772238, 704835.0920863927 9314092.916949974, 704850.0407943929 9314066.1324579, 704850.1948260287 9314065.866477283, 704857.775460284 9314059.13757462, 704872.9726682625 9314059.139796954, 704900.8812214322 9314069.958645664, 704932.1940366491 9314088.883716391, 704970.2822657117 9314114.542834729, 704985.4890814791 9314117.287908303, 704997.3150236057 9314118.61803767, 705020.102281543 9314114.578878094, 705071.5542359322 9314097.001456438, 705136.5115569283 9314076.733381052, 705173.6452398277 9314069.956368648, 705217.5402988187 9314065.898588067, 705247.9362464737 9314063.159925068, 705262.2782309316 9314059.150210464, 705281.6451127928 9314045.578008411, 705296.7762705128 9314026.700696837, 705304.3188476235 9314009.110797368, 705315.1806247423 9313975.31723335, 705325.9997507198 9313929.346599013, 705331.7635102808 9313887.397428943, 705328.8751942189 9313859.115704618, 705326.5143055626 9313836.052519822, 705324.7465811956 9313811.693221852, 705308.5645293327 9313773.82466832, 705280.5188038901 9313723.831504991, 705258.4419283497 9313687.29974976, 705222.8718387318 9313660.061505457, 705207.6346357302 9313648.61230634, 705178.0083002663 9313627.668576486, 705146.68503865 9313605.735364994, 705129.7778569236 9313600.994437292, 705113.7284806299 9313600.995299064, 705098.5347005764 9313601.94433375, 705083.3608879779 9313608.600319974, 705062.2899721813 9313619.11479475, 705050.4985929611 9313627.639158545, 705037.0305727023 9313640.98053737, 705021.0311691242 9313655.270874878, 705007.5531958243 9313665.769826243, 704993.2238089512 9313673.351878151, 704981.4158590143 9313677.142547837, 704966.2187415031 9313677.14038303, 704945.9490084113 9313676.215838095, 704917.2272424528 9313673.36319016, 704874.1495734141 9313670.50540084, 704847.9823909316 9313673.339751484, 704822.6698551413 9313680.020022595, 704798.2051605701 9313688.599658191, 704771.2367225782 9313702.872922683, 704763.280723515 9313706.69432845, 704743.4127240212 9313716.20904955, 704729.9190449333 9313719.054379042, 704708.7904166512 9313716.230410244, 704687.6660262747 9313711.448781252, 704667.3596342695 9313700.01716816, 704645.339943119 9313682.906638874, 704632.6176717737 9313665.752591394, 704624.119139903 9313650.49719737, 704618.1222624425 9313625.776685318, 704609.5406955045 9313586.731306493, 704600.1079761817 9313544.835394733, 704594.0709929926 9313508.6235822, 704589.7988683619 9313496.029982092, 704589.209041208 9313495.114052823, 704578.9716768344 9313498.567359185, 704568.4600790079 9313493.217782488, 704533.4103037778 9313475.367455952, 704507.7735451625 9313458.88889973, 704500.9860586153 9313454.997311598, 704498.9765142046 9313453.234708805, 704494.5502514103 9313450.385589674, 704494.8475142329 9313449.931088533, 704494.0262574117 9313449.303528892, 704494.1584985723 9313449.137166034, 704494.2135701103 9313449.059553204, 704485.7384427116 9313440.495433215, 704465.4253971984 9313427.117236115, 704441.2979062195 9313408.587279703, 704437.5355569229 9313405.680541392, 704437.4912064495 9313405.658575935, 704434.9386233398 9313403.698784856, 704406.1803207332 9313390.305796571, 704400.3859559501 9313388.711235367, 704378.7569448008 9313378.832597367, 704366.6834157285 9313379.449830985, 704365.6087474579 9313379.154956652, 704340.265270843 9313376.920721002, 704313.2510231615 9313378.02138586, 704283.7177501086 9313383.610153252, 704282.9766743171 9313383.75651784, 704261.507770601 9313384.871005654, 704222.5281208658 9313398.555464359, 704222.1846177154 9313398.446060691, 704222.1410768029 9313398.656353936, 704222.1192870783 9313398.755970582, 704187.3502176378 9313410.57869356, 704143.1840921394 9313425.597309116, 704121.4271927682 9313433.005925126, 704121.4943345953 9313433.215832653, 704025.1018130884 9313465.747360317, 703956.981506167 9313489.730427703, 703955.6289008122 9313489.082591092, 703955.9650301158 9313490.253788076, 703943.1975596643 9313495.020864833, 703927.0917280504 9313501.027220974, 703904.3865747682 9313509.489744939, 703867.4320154265 9313523.078391671, 703843.7868132956 9313531.765357925, 703805.8815141593 9313545.689065566, 703805.7928907012 9313545.667253619, 703760.7366053391 9313562.557765003, 703674.6906304756 9313594.455382373, 703643.8929872182 9313605.699853092, 703521.8650109188 9313650.817282848, 703500.171233177 9313657.307417313, 703460.5302133566 9313671.845179906, 703458.0645492751 9313672.594759688, 703436.9020805991 9313679.094082288, 703436.7696061557 9313679.194082305, 703430.1681735448 9313684.238245426, 703407.3427489841 9313693.154412618, 703361.4453902221 9313710.124886898, 703338.4080810368 9313718.588294923, 703306.1900413593 9313728.808893204, 703274.9761450267 9313738.14118697, 703246.2861158752 9313744.356845567, 703206.6197961723 9313751.616994368, 703165.26376938 9313756.7705052, 703124.7491278312 9313761.97636984, 703090.1477282525 9313767.958042953, 703080.8668478818 9313769.560711812, 703036.1279394391 9313775.887142811, 702998.9903997014 9313781.446198998, 702993.0722579167 9313782.45102947, 702924.6118388159 9313791.447532307, 702924.0572747451 9313791.117651487, 702924.1257516125 9313791.714654721, 702750.4787285416 9313818.992081769, 702695.13534799 9313825.056278326, 702614.1084475298 9313836.152986627, 702561.7848609234 9313844.872069936, 702528.0249863907 9313850.950012874, 702501.8688441539 9313856.946376264, 702473.148366745 9313863.969098797, 702430.329388199 9313871.770434758, 702407.514110339 9313877.24645854, 702382.7291309421 9313882.86198979, 702348.2957964251 9313889.439840283, 702280.788190475 9313905.123518443, 702230.7123886428 9313917.318409113, 702203.1071536036 9313923.57399773, 702203.130014752 9313923.784058204, 702174.8389622085 9313930.163655968, 702142.3347737924 9313937.685876392, 702100.2191671961 9313947.25411124, 702075.7890368915 9313953.067351691, 702025.7332036326 9313964.642616436, 701973.6474841463 9313974.952928873, 701909.2203281845 9313991.654087376, 701765.6227672955 9314025.040518364, 701730.6315176925 9314030.325867828, 701679.8753645415 9314041.040531633, 701675.7830242406 9314041.90621766, 701674.0679778911 9314032.41163202, 701672.3511422209 9314025.615676304, 701671.4863747978 9314018.761491204, 701661.1797404146 9313969.91202669, 701658.6028545054 9313957.633302132, 701653.4612168088 9313933.385489848, 701638.882097162 9313871.632720474, 701629.3508354593 9313800.4174155, 701629.3410230551 9313797.563986886, 701625.7727953263 9313764.153144343, 701624.1031286285 9313748.542262923, 701621.5527189863 9313740.742722109, 701610.266890255 9313651.760148488, 701602.4003746184 9313575.418380301, 701603.1876906928 9313556.536370002, 701602.2267918412 9313524.952511827, 701597.8811875662 9313487.57383265, 701597.0135295757 9313483.097545182, 701567.9173770782 9313371.182657048, 701550.121982899 9313320.401375657, 701550.0102361594 9313320.092082037, 701549.8873832294 9313319.77176669, 701539.7986898982 9313295.651585726, 701505.7803989048 9313226.478151225, 701498.0535052168 9313210.025437508, 701481.7167432613 9313161.749750566, 701475.0120843388 9313149.662192468, 701453.4390321358 9313110.739094546, 701415.7630292492 9313043.226174712, 701397.373007401 9313009.379694829, 701396.0900992315 9313006.453227278, 701379.9327654006 9312974.921653386, 701372.1133839447 9312963.744842, 701356.665717572 9312935.805302044, 701349.3926345624 9312925.776843458, 701348.5236973525 9312924.142963177, 701313.7265586725 9312872.999882726, 701288.2686769781 9312837.275394952, 701284.0247152647 9312832.644820103, 701275.5464550896 9312822.974419957, 701274.7349522469 9312821.948637499, 701261.1290472897 9312804.94101997, 701237.3903666489 9312776.698178917, 701216.20152824 9312752.881595803, 701207.7318044121 9312745.688583294, 701188.9157106703 9312729.517300244, 701187.3615510361 9312728.17333223, 701158.36142311 9312708.387271564, 701025.7713196189 9312594.173668902, 701025.6604118684 9312594.107690407, 701009.090029427 9312580.80423912, 701008.7237605288 9312580.506879676, 700976.5395153032 9312552.027561644, 700972.8975228927 9312548.633618811, 700951.5948193606 9312530.280975237, 700905.4065110811 9312494.48382828, 700889.3143494962 9312481.83125107, 700861.3902178612 9312462.671827547, 700858.0078119973 9312460.736896047, 700844.4561908803 9312449.811994992, 700814.8026548929 9312423.381085008, 700806.9101219571 9312416.639517013, 700714.2117263667 9312344.681204448, 700602.4479910939 9312257.934768703, 700581.9740263807 9312242.34418218, 700577.7350564732 9312239.140291676, 700571.808724293 9312234.471222488, 700570.1651781219 9312232.873175181, 700563.4067458806 9312227.620784907, 700563.3402247896 9312227.587833341, 700553.1905081649 9312221.030943906, 700549.7974026711 9312219.195577135, 700544.7272834382 9312215.684858134, 700542.1869365869 9312214.001405867, 700523.5542551156 9312199.565782396, 700521.7000424957 9312197.857857788, 700505.7672516252 9312183.213898407, 700488.8234636993 9312167.456354886, 700483.7481220299 9312162.419388186, 700480.3521039222 9312159.732418668, 700474.4246892844 9312154.742611516, 700470.1969898697 9312151.593977466, 700465.9553423164 9312147.604840668, 700455.8005737324 9312139.565935811, 700450.7173913054 9312135.469083782, 700447.3362724471 9312133.89910928, 700432.0955995234 9312124.196530752, 700368.6018531075 9312073.472324792, 700279.6942480223 9312002.794649465, 700271.2238132702 9311995.325071339, 700260.2147579109 9311986.66972116, 700256.8283902816 9311983.56243671, 700251.7437979653 9311979.045305321, 700243.2790134911 9311973.22362519, 700238.2000282229 9311970.343333475, 700217.8878901133 9311956.698657427, 700198.4326796752 9311944.422465729, 700178.9581188302 9311929.724227183, 700158.6355247595 9311913.015993917, 700145.0858439076 9311902.57763164, 700134.0800453108 9311894.862344664, 700110.380550267 9311877.800685434, 700071.4217705312 9311845.550762432, 700008.79454125 9311802.04545797, 699977.4822223932 9311782.27802884, 699930.0967394942 9311755.277124234, 699870.8749732968 9311720.408878664, 699862.4097054435 9311714.421269048, 699816.6977135004 9311681.56392658, 699773.5430079704 9311655.344784489, 699747.2964509896 9311634.553517418, 699730.3591317597 9311620.576469133, 699710.3154940465 9311607.693896532, 699698.2028217064 9311599.915983154, 699681.2788648696 9311589.843001934, 699657.5586072349 9311566.620977564, 699626.2366286442 9311543.944728453, 699575.4498030511 9311509.312917458, 699521.2668558776 9311468.676131587, 699493.3270212475 9311444.616874464, 699488.2419754593 9311439.933811104, 699484.8571575513 9311437.257830424, 699481.1398564912 9311434.450266883, 699350.2468347352 9311335.624094572, 699333.3152944269 9311323.28381567, 699305.377678264 9311303.073317604, 699284.2161067044 9311286.854407802, 699267.2833520343 9311274.149148162, 699249.5139542639 9311262.762856765, 699235.1236244887 9311252.3714796, 699141.129556522 9311175.748936018, 699110.6372301577 9311146.32321915, 699107.2472082002 9311142.10993159, 699093.74195883 9311144.589126753, 699075.148106909 9311141.323507186, 699068.6154023564 9311134.0241861, 699068.3710104468 9311133.759583894, 699068.2717036153 9311133.848400779, 699057.4246323903 9311143.385739185, 699005.1223293918 9311157.488257134, 698983.1741199009 9311160.471762229, 698967.9714482669 9311158.51067105, 698957.8300531346 9311154.276137516, 698901.9736765826 9311119.240949247, 698896.8935725546 9311115.984552177, 698888.448960645 9311112.750672475, 698878.2977575064 9311108.881135527, 698862.2515301635 9311109.455585992, 698858.8759170622 9311109.467080012, 698855.5017350031 9311109.898840925, 698820.8904309152 9311112.394533772, 698749.9543561655 9311111.474702848, 698746.5787448215 9311111.486190343, 698712.8028323109 9311112.286828307, 698686.6319664135 9311113.537144952, 698682.457020584 9311125.838762373, 698679.1196342384 9311137.08685078, 698685.1039893951 9311158.898496585, 698689.3594903888 9311170.275592633, 698672.5508963048 9311194.011754286, 698667.5294501972 9311207.997333167, 698697.317388757 9311274.453761347, 698727.9419194772 9311342.809628986, 698743.2779882404 9311380.725689046, 698750.9878743258 9311415.239159852, 698744.7608980429 9311569.411566308, 698716.5261758659 9311709.15940396, 698721.8371900253 9311780.333143104, 698721.9953710507 9311781.283746341, 698745.1194251323 9311922.2726225, 698770.916177512 9312061.57134457, 698783.8237339418 9312130.662162038, 698803.5844700115 9312229.690640178, 698807.9493482463 9312273.240284618, 698808.5538888711 9312281.776381293, 698808.8325953293 9312285.624238025, 698809.7628015272 9312308.570122918, 698807.3377477673 9312340.795505572, 698801.4891642913 9312358.9534187, 698783.0528744882 9312402.16025778, 698764.6141687214 9312441.407690099, 698746.1659794572 9312481.130711474, 698729.3801553345 9312511.723759111, 698722.6580422489 9312536.66425985, 698730.6937227297 9312562.83758271, 698739.6146805438 9312575.924185032, 698744.965756131 9312590.504919402, 698742.5892779271 9312601.207792789, 698737.2347293603 9312627.979572335, 698723.175959019 9312672.907872166, 698695.5066171533 9312731.795554746, 698677.8961654049 9312767.301893812, 698675.3802348847 9312772.796078803, 698666.9960837618 9312790.697121043, 698664.6699531362 9312793.414658302, 698656.037755393 9312803.453041714, 698647.120078262 9312814.16703754, 698644.397877725 9312850.209004192, 698648.8537535305 9312917.381989677, 698650.5548735287 9312922.917163534, 698651.4244367098 9312928.023827361, 698655.44441738 9312938.483792258, 698678.4995721199 9312945.129916297, 698686.9808698407 9312955.851238871, 698689.5596276401 9312968.87090082, 698673.7676876655 9312982.561175851, 698669.1239602371 9312983.992580162, 698648.5968160233 9312991.72663345, 698622.9605610829 9313000.73881954, 698618.7406765459 9313003.130981402, 698604.8831719242 9313009.570522303, 698585.5463544355 9313022.354824848, 698584.3103837268 9313023.431813056, 698572.4579617584 9313033.658044487, 698559.765767085 9313041.033700084, 698542.7191041454 9313033.957942765, 698531.0210596255 9313030.956163239, 698512.4208374717 9313025.953840774, 698496.3217909066 9313030.686685693, 698493.9412449221 9313043.47983747, 698487.199107219 9313056.044455431, 698474.3136241636 9313058.642926779, 698457.3643864904 9313057.45060776, 698439.8154730477 9313052.400460344, 698431.7851029455 9313053.887555946, 698431.0622635349 9313056.146195441, 698429.7043410572 9313060.430922126, 698432.075959292 9313067.86610388, 698455.1846614708 9313080.517590348, 698463.6532923774 9313087.51184262, 698463.0083981322 9313112.77451721, 698460.4476587751 9313137.722949488, 698451.2081136332 9313151.46835323, 698410.7780214378 9313181.344994236, 698392.8150181582 9313191.293253353, 698380.034435313 9313195.461823795, 698364.5632869434 9313205.866142642, 698360.2164606062 9313213.268776245, 698351.8030284423 9313222.576395785, 698353.6419369217 9313265.548367277, 698349.4934272624 9313289.03120622, 698340.2886451199 9313313.062028334, 698329.3595307546 9313327.963329177, 698313.9637524438 9313337.759080036, 698279.7981038291 9313348.038615301, 698264.3369547154 9313358.144243252, 698256.3075491529 9313373.013591243, 698252.43572584 9313383.422852691, 698261.0648417284 9313405.137119003, 698272.6622122964 9313430.7122544, 698288.72408329 9313447.667800477, 698305.3419081916 9313465.37352644, 698317.2392914002 9313488.01681282, 698318.0888428984 9313490.491321893, 698334.9636105769 9313485.999256914, 698375.5067782952 9313489.44539586, 698387.335085847 9313491.67260655, 698410.1400156394 9313493.02211389, 698496.2938035061 9313499.37729529, 698573.9937900594 9313503.117715947, 698607.7819764516 9313505.535911068, 698677.0342663 9313508.46428389, 698718.3732364669 9313511.553585997, 698724.329412112 9313511.99790093, 698739.8256810796 9313597.116662363, 698755.226485049 9313657.340205397, 698769.7157086852 9313696.796588542, 698783.358033823 9313734.563699333, 698784.2245945063 9313742.048228208, 698813.2381305604 9313831.29071417, 698817.5120807219 9313844.824447563, 698845.5722173784 9313904.219838655, 698851.5258668188 9313916.96263327, 698860.8663621248 9313929.693943376, 698866.7930091616 9313937.73642403, 698870.2005934934 9313943.840925947, 698892.2645751471 9313977.94081906, 698899.9044990649 9313988.565477181, 698902.447877774 9313991.14484008, 698909.2393094453 9314002.878353475, 698923.654808693 9314020.558290938, 698944.8389906264 9314039.995894084, 698955.8520501878 9314053.086499969, 698993.9715399889 9314085.81580637, 698998.2006633268 9314089.384829246, 699038.824042414 9314116.299237806, 699047.2898408571 9314122.397634136, 699059.131919648 9314128.62835014, 699093.0232931145 9314161.316670327, 699097.2454142079 9314166.080170376, 699097.2565574475 9314166.102252143, 699099.8477341435 9314182.760561261, 699113.5083686936 9314225.847380966, 699116.0703838064 9314233.912332956, 699120.3125451541 9314238.05641701, 699143.2140011885 9314270.992166892, 699172.8954908643 9314305.75188653, 699195.7633133574 9314325.504470702, 699225.3725500954 9314342.225898348, 699229.5978010737 9314344.644708104, 699246.5109941289 9314351.389057461, 699320.9272686252 9314381.82728244, 699327.6896316414 9314384.967416529, 699344.6082268012 9314393.293277659, 699364.9132344804 9314404.726495637, 699453.7237135279 9314446.451993693, 699458.8028187165 9314449.332401976, 699481.6566776119 9314464.926477497, 699496.8960191974 9314477.416503951, 699511.3252330171 9314499.044686198, 699545.319842661 9314561.958995378, 699558.9022979342 9314581.942142855, 699564.8330249955 9314587.883220043, 699572.439138353 9314591.761475604, 699619.8366566566 9314621.815734193, 699638.4763450832 9314641.483062718, 699639.6904616999 9314643.735136714, 699642.7315133787 9314649.431661025, 699652.0687405975 9314664.37490122, 699664.815854053 9314686.064093959, 699677.561197686 9314710.485067979, 699695.4051028816 9314743.493241575, 699696.8319283875 9314746.452420633, 699697.0994863969 9314747.015561476, 699727.7890073062 9314830.656146495, 699728.6694439384 9314838.936958503, 699749.3552976052 9314962.272100274, 699749.6841412848 9314964.5824848, 699758.862631473 9315027.216225209, 699765.8195090105 9315087.523900732, 699771.9045342074 9315138.820787204, 699775.3111960245 9315147.86719816, 699816.8307752616 9315249.210954893, 699821.2952270139 9315260.100760428, 699824.6993896794 9315265.154583935, 699836.6047541978 9315289.899166279, 699862.1509811999 9315354.987845803, 699880.0933517112 9315413.63239032, 699883.523731569 9315429.646414762, 699888.6600634765 9315452.578090236, 699911.7520857219 9315547.82422235, 699911.785704892 9315547.945766144, 699914.3317080513 9315551.266116314, 699927.0469081023 9315563.510344133, 699947.3367761611 9315570.342670152, 699958.3287528841 9315573.84442855, 699987.0404421008 9315577.009411186, 700049.5521879506 9315582.39299568, 700062.2946597054 9315583.123820914, 700086.7168427283 9315584.533781392, 700143.3235922398 9315591.563165745, 700209.2059245075 9315595.35355643, 700222.7207205822 9315595.351768276, 700308.0107749094 9315597.17365456, 700335.028397212 9315593.653037746, 700346.3245614 9315592.20994085, 700346.8445553276 9315592.141809616, 700347.1640848832 9315594.960983226, 700349.4566994528 9315614.860905895, 700349.5201313325 9315633.474422596, 700347.9603642852 9315672.720096247, 700338.8914532327 9315736.610585418, 700330.663938078 9315800.564558709, 700327.4859704531 9315858.683842627, 700322.5834233363 9315914.187812546, 700320</t>
  </si>
  <si>
    <t>West Jakarta City</t>
  </si>
  <si>
    <t>POLYGON ((688670.7127196039 9325974.502327533, 688673.2616710218 9325947.38821181, 688689.390560315 9325929.874780025, 688714.0871931468 9325919.246246869, 688721.8648517481 9325921.322903575, 688734.3339521294 9325898.191897785, 688761.2690794386 9325902.320278263, 688777.8709620152 9325904.866685975, 688779.2821285051 9325903.037456792, 688791.5519155259 9325893.896937853, 688805.2461760549 9325890.635399288, 688841.5319007233 9325890.15566109, 688867.5339959937 9325893.280559847, 688884.2418279999 9325894.32255281, 688904.2260961946 9325891.782052033, 688952.0759659092 9325886.554429704, 688952.7015899101 9325884.86039184, 688953.3928204294 9325886.406491555, 688953.5934776756 9325886.84822432, 688963.616113203 9325909.20031584, 689009.704115143 9325931.38292922, 689041.1889167429 9325928.474193355, 689082.2503253135 9325918.921701718, 689116.1407424035 9325899.626617406, 689127.8173184032 9325895.431360103, 689146.1923567165 9325909.064437836, 689196.4182882088 9325899.073627828, 689233.2453664235 9325964.582262855, 689253.6054030235 9325954.85196733, 689277.1155747145 9325943.607621588, 689294.0216295016 9325965.252197802, 689346.368952323 9325926.047143428, 689346.9652161777 9325925.569705673, 689354.9702698763 9325919.052551392, 689386.7898073347 9325892.542186303, 689391.6919090298 9325888.456839146, 689420.0004690118 9325864.87722212, 689431.7036579351 9325855.119023282, 689445.7254384363 9325843.440215979, 689466.637946045 9325826.431101704, 689498.7905383058 9325800.251367657, 689531.6278666559 9325766.604453512, 689539.2073801475 9325758.562440142, 689539.5601045742 9325758.085773002, 689563.5921947374 9325726.47957388, 689581.258853982 9325705.267140828, 689606.4747020535 9325666.479707843, 689641.8112052039 9325625.083286686, 689662.8584863213 9325601.758812165, 689688.9654973665 9325578.683660738, 689695.7009927195 9325573.2874558, 689707.4973868129 9325565.021874014, 689707.6738707799 9325564.822246531, 689731.0651863847 9325537.155058032, 689734.3825992099 9325518.631337948, 689738.5267509369 9325495.5264615, 689741.0392225487 9325488.440555677, 689777.9073039122 9325396.155542068, 689781.2682804575 9325391.334077153, 689784.6492785703 9325392.805258248, 689800.6007969918 9325361.434718559, 689806.4749624371 9325349.759580325, 689838.37590093 9325289.860699274, 689866.0811586038 9325236.876112357, 689883.697357725 9325199.904243646, 689901.3249417879 9325166.515524263, 689934.072663181 9325104.932829835, 689958.4061659947 9325056.913436498, 690005.6491234796 9324972.579818204, 690029.7878930956 9324929.4934122, 690044.0916714384 9324912.626673892, 690056.7161967084 9324896.815914253, 690073.5455033145 9324876.988287956, 690095.4287465638 9324855.607296364, 690109.7594037598 9324847.178663997, 690125.7598357893 9324831.257578105, 690133.3312414095 9324824.21079003, 690166.1373717472 9324781.085569672, 690203.1434547058 9324732.450454589, 690226.6901413044 9324701.630518105, 690251.0885491201 9324674.081389908, 690282.2980796332 9324626.747570924, 690283.8734122033 9324624.353736486, 690285.5577811474 9324621.439767854, 690306.5456821974 9324583.196114121, 690314.9534275585 9324571.14782321, 690335.1328188839 9324543.180799423, 690381.4123782265 9324490.246974347, 690386.4605363654 9324483.429382669, 690501.6470281153 9324322.535571778, 690522.6658598067 9324294.045961363, 690540.3490212745 9324274.79045795, 690613.5209431464 9324181.746693157, 690618.5715579495 9324175.714268059, 690637.1132485553 9324151.490344562, 690646.3289699848 9324139.450440897, 690678.2977656648 9324101.270903049, 690708.5786472916 9324064.899409011, 690796.8733463526 9323944.899522843, 690830.5286558415 9323904.557872303, 690852.4110049914 9323879.648501169, 690902.0692937702 9323827.80907709, 690906.2727772709 9323823.427164784, 690930.6821818679 9323796.07659085, 690943.2811160911 9323775.897157287, 690945.8035131571 9323771.985125866, 691010.5717862385 9323689.142042488, 691035.8036157663 9323655.949434962, 691061.0068701527 9323617.315715402, 691066.0531591997 9323609.967179624, 691089.7008204724 9323579.865168633, 691108.1117233959 9323556.404499551, 691159.4182417729 9323490.591492644, 691284.0249553225 9323368.90319696, 691312.6495654585 9323344.39210807, 691334.5501365988 9323325.277471367, 691362.3301170713 9323296.301092518, 691380.0054992557 9323278.250664335, 691420.4405735414 9323246.645624144, 691426.3326549263 9323240.72096699, 691444.8564688102 9323221.462309133, 691446.5334362161 9323219.720592733, 691475.1465420439 9323188.242036404, 691506.3008632066 9323158.72383437, 691545.2794480425 9323121.74851567, 691570.2976933026 9323098.023011327, 691578.7079827681 9323090.353897015, 691588.8023971745 9323076.2981086, 691619.7342714487 9323049.92138575, 691619.966087944 9323049.72157011, 691651.9703517827 9323022.932169026, 691659.5425530368 9323016.26108122, 691676.1221608955 9323001.730921889, 691689.793246703 9322988.061706737, 691715.0125562213 9322964.93266466, 691741.292057747 9322937.608689155, 691762.3150806739 9322917.63401179, 691779.1368598606 9322892.408626232, 691803.3112819144 9322871.384175237, 691836.9483563341 9322856.66617553, 691863.229186266 9322850.354903007, 691887.4052137834 9322836.695936358, 691929.4570212233 9322802.010657433, 691935.9725046514 9322797.20090431, 691949.4231772186 9322787.2924955, 692006.1889498045 9322743.14807637, 692059.7955177992 9322701.092954293, 692064.9743015198 9322697.128014643, 692091.331873548 9322676.914729161, 692112.3529799319 9322663.25477744, 692138.0354694464 9322643.098942272, 692143.0920869242 9322639.012734778, 692175.1087299737 9322616.182136573, 692213.8665574609 9322586.472881949, 692236.6123314853 9322568.737433795, 692261.9566051622 9322550.130929496, 692275.3631139593 9322540.28891391, 692279.990801381 9322537.06671022, 692290.273335589 9322529.911174988, 692302.5217408785 9322521.366848545, 692359.5448911395 9322481.644863898, 692379.8558290093 9322467.489406908, 692395.87087696 9322456.466606928, 692396.3017941779 9322456.221904205, 692450.7850896963 9322425.256007241, 692537.1892854793 9322376.159727314, 692552.6580630816 9322367.372639982, 692634.4571758955 9322328.49893655, 692670.7109546564 9322311.825370096, 692701.0685197072 9322296.332150979, 692704.439863693 9322294.839247685, 692707.8122485242 9322293.667063694, 692713.0519802816 9322291.449233707, 692713.6155482584 9322291.148800338, 692725.9301187696 9322285.966200994, 692738.1783433924 9322280.80593268, 692793.9032777597 9322253.905456426, 692887.4265013889 9322208.766783174, 692974.2861997535 9322170.561725123, 693005.4837309691 9322154.700614633, 693012.2221160237 9322150.398706194, 693074.5839643724 9322108.479724245, 693086.3806582941 9322100.644450868, 693118.4020240777 9322079.438874949, 693173.1647954407 9322039.291862858, 693184.1191523084 9322031.138580203, 693266.6875667187 9321970.374610431, 693290.2804613477 9321954.582300814, 693313.0487570518 9321943.913187398, 693325.7054423824 9321938.44176743, 693345.3476753961 9321926.400391528, 693396.8598400905 9321887.502336776, 693443.8238612174 9321845.655112702, 693445.2145561583 9321844.411919927, 693468.8922400102 9321827.49116994, 693473.1193800323 9321823.672933687, 693482.4177029949 9321816.885285283, 693495.0289535879 9321807.675869053, 693529.592351008 9321788.73993944, 693538.857491597 9321781.963446386, 693561.88766379 9321749.80482208, 693577.1689534619 9321734.52608467, 693596.5767258746 9321715.119754877, 693631.0317309275 9321686.739313247, 693632.312339305 9321685.684484037, 693673.316194953 9321659.406046657, 693682.8965135128 9321654.24317323, 693727.9693694487 9321629.975280814, 693729.5838598819 9321629.472331556, 693747.7702743442 9321619.116562737, 693789.9547987998 9321605.26500573, 693807.7885863972 9321602.176439032, 693811.0522188956 9321601.612800974, 693860.8252696091 9321586.210180195, 693901.0794015485 9321574.432961917, 693909.8209965767 9321570.05800712, 693911.3904486406 9321569.3229502, 693919.292910292 9321565.603246404, 693927.4692103249 9321560.997887518, 693934.2073341219 9321556.651597986, 693935.4890204382 9321555.928540705, 693949.8196615035 9321547.863554362, 693950.2173961991 9321547.630004568, 693967.0774017309 9321537.875699788, 693972.9768235992 9321534.317370526, 693990.6865528155 9321523.763994798, 694071.6463307994 9321489.380594805, 694084.2913076341 9321483.75416982, 694146.7005871604 9321456.708494462, 694152.6032890307 9321454.156544844, 694305.255063527 9321391.424735485, 694333.1067618055 9321385.007423017, 694376.9691209686 9321369.778482763, 694420.8409756874 9321354.073913597, 694527.127596536 9321316.44367082, 694585.329602604 9321295.947402691, 694608.9457201025 9321287.38723519, 694668.0027834295 9321267.728586003, 694761.6315349602 9321235.204661218, 694781.0424759071 9321230.385287262, 694839.2438642312 9321209.733888451, 694877.2136295391 9321196.8021349, 694959.0318665049 9321167.844653752, 694975.9048322155 9321162.093492048, 695052.6728335898 9321135.729339894, 695099.074516705 9321121.918082474, 695124.3797709617 9321112.024962181, 695171.6115896314 9321094.837742506, 695174.143865278 9321094.044175528, 695206.2020460009 9321084.338905653, 695293.0825161429 9321053.152286002, 695362.2455751972 9321026.75741431, 695390.088769592 9321017.806911262, 695435.6395303383 9321001.100540858, 695439.0121897683 9321000.038759263, 695497.2231152311 9320979.010525068, 695532.6518032046 9320967.612870717, 695644.8479675251 9320929.79482151, 695666.890670581 9320920.81907686, 695668.460386958 9320920.172437793, 695685.3445877081 9320917.84946519, 695725.0069130812 9320908.019211965, 695761.2981511218 9320899.726288669, 695772.265338892 9320898.94906029, 695853.3054934035 9320885.91847217, 695891.2883179865 9320880.362646176, 695898.8790165455 9320879.485960484, 695941.0863131428 9320872.710636701, 695946.9908260314 9320870.733561696, 695952.0563790335 9320869.456014983, 695970.6169962334 9320865.28045729, 695980.7562593375 9320865.191620992, 696001.8534935248 9320861.538522193, 696055.0297871358 9320851.187749831, 696099.7555986551 9320842.81138541, 696106.5162849439 9320841.992716163, 696140.2822252229 9320836.605508275, 696158.001424518 9320832.38843234, 696168.1236893343 9320830.507962873, 696174.0348616625 9320830.54368761, 696208.6640778675 9320831.80040136, 696291.4541666495 9320839.113046456, 696300.8984215583 9320839.73427179, 696382.674776635 9320845.092603158, 696390.292166061 9320845.587154977, 696405.4642607063 9320837.6845323, 696423.1594839324 9320826.234461727, 696441.5933781508 9320817.226110103, 696468.6916459908 9320803.986362044, 696476.2396893181 9320790.24740047, 696473.5940429326 9320783.55404522, 696457.8189251347 9320763.15712658, 696457.4345741668 9320760.747404259, 696451.9297717223 9320726.370245257, 696452.6093715155 9320700.986165542, 696453.3985509758 9320671.929928362, 696455.7467625189 9320615.65079559, 696455.1947185339 9320599.394985875, 696454.6314942375 9320583.106034383, 696451.923327183 9320554.22729148, 696446.0390764303 9320518.922386732, 696443.5150149376 9320512.17333257, 696432.804756063 9320483.608687393, 696423.976028505 9320448.291434012, 696426.0142296347 9320415.36018746, 696426.2577888196 9320415.370439054, 696443.6967400644 9320416.80563001, 696444.6046350871 9320416.868975447, 696488.6178782458 9320447.369141258, 696532.632072905 9320474.80576817, 696577.4714029734 9320500.702346722, 696625.7132412319 9320531.188410737, 696650.2239557016 9320538.804523688, 696711.0693723401 9320547.936770713, 696741.5677787337 9320551.960699242, 696757.5367618881 9320554.053213887, 696810.7361264497 9320554.042330222, 696823.5009581241 9320554.597126918, 696886.760600056 9320557.372947056, 696931.5312955744 9320562.543772668, 697005.414759638 9320567.7946816, 697029.5185096983 9320569.506156512, 697038.8191216658 9320570.205149617, 697039.1623793149 9320570.2371865, 697095.4096085293 9320574.661892101, 697146.9438913034 9320579.865352472, 697181.5745484367 9320581.54172399, 697240.7192816327 9320588.467194151, 697326.884504082 9320595.402123133, 697392.679495327 9320598.246393476, 697406.2746859692 9320598.831480559, 697486.5288607187 9320605.741651317, 697579.469207499 9320616.13743658, 697660.5589297798 9320621.29716694, 697783.0546355074 9320631.638244214, 697806.236448264 9320632.357123978, 697840.4888044952 9320633.403986065, 697857.3984122495 9320641.996181605, 697862.8028433829 9320646.07021488, 697873.489612944 9320654.119151222, 697914.9363857708 9320674.817143403, 697916.6998096303 9320675.82874336, 697963.1698097477 9320702.448985798, 697986.0941452358 9320712.226561192, 697986.6040743821 9320712.44605084, 697986.847932654 9320712.54477308, 698029.4190764751 9320721.869573532, 698036.5198162413 9320723.427372372, 698079.1840269981 9320730.783202536, 698123.3192514624 9320727.837494869, 698125.022859321 9320727.511065224, 698155.7870541662 9320721.524393205, 698203.0319033782 9320705.07536848, 698255.3373558655 9320689.184465533, 698300.909370234 9320678.956509013, 698318.6369972804 9320677.260317031, 698343.9827163792 9320679.553288866, 698399.7351277444 9320684.796893245, 698419.1659333531 9320685.948375482, 698452.6725364679 9320689.032384606, 698462.2505761401 9320689.907191113, 698507.8703417078 9320693.923839549, 698556.0230451149 9320697.345798142, 698620.223264651 9320703.091754626, 698699.6348139087 9320709.372787274, 698755.3850817899 9320713.930377916, 698813.6709692563 9320718.689543491, 698839.8583950559 9320721.079026993, 698864.363278463 9320723.474148206, 698889.6678369502 9320726.662877064, 698902.3810000767 9320728.257033305, 698947.1551176994 9320734.22271791, 698978.4224640835 9320739.603336534, 699035.8973206466 9320753.33448644, 699073.932160246 9320759.897835555, 699105.1845782606 9320764.117169661, 699160.1034208644 9320768.256927641, 699182.0624086058 9320770.660486318, 699207.4045897999 9320771.84714579, 699225.0457813188 9320777.33982522, 699226.8519942898 9320777.89779918, 699242.8959269451 9320775.842021886, 699242.0678707907 9320783.06683778, 699242.0802944312 9320786.76075972, 699241.2797847728 9320798.884961655, 699240.459449141 9320805.114371924, 699230.1344924318 9321000.221327439, 699229.3671673631 9321022.221789777, 699226.233577655 9321097.693132896, 699221.5155105558 9321199.071775716, 699215.1259671832 9321310.365578555, 699211.8885209791 9321351.673629953, 699211.9182856386 9321360.532403901, 699211.9223359805 9321361.737904966, 699211.9517657729 9321370.497142099, 699211.9623931049 9321373.660199946, 699211.448523653 9321471.120597152, 699214.9491240071 9321508.136938557, 699227.7489400682 9321548.650109021, 699263.4700620659 9321624.20104746, 699281.2973543103 9321648.771263894, 699314.3566262057 9321686.528848084, 699399.013180026 9321744.407708287, 699404.3296883265 9321748.603613582, 699404.94015279 9321749.088191867, 699481.8728623837 9321774.831101066, 699533.4346788512 9321787.6750745, 699666.9958981727 9321821.93135944, 699768.4226599222 9321846.585086718, 699814.0692266162 9321858.187951127, 699828.4402427685 9321862.19850088, 699841.9696323491 9321866.112344101, 699850.4252080264 9321868.881994985, 699877.4647327405 9321874.276578935, 699885.6294835741 9321876.15136125, 699886.139060734 9321876.260242686, 699886.7594463172 9321876.401930248, 699894.3709010816 9321878.333874421, 699898.5921697118 9321879.425634036, 699929.0239846364 9321886.279723177, 699961.9911007568 9321896.509556208, 699967.0663407367 9321898.074005669, 699970.4461319523 9321899.113297658, 700054.9771141394 9321919.39962087, 700094.7008629385 9321930.8121332, 700185.1542424911 9321954.352034109, 700215.5897147198 9321962.25666825, 700238.3993179721 9321967.245107679, 700245.1684287528 9321968.859121058, 700251.9268062812 9321970.5727084, 700286.5872163378 9321980.641840305, 700331.3849599307 9321989.924668565, 700338.1431957519 9321991.594008718, 700344.9131739145 9321993.462385472, 700345.0018062836 9321993.48420592, 700353.3664958249 9321995.546275303, 700356.7450732426 9321996.22057871, 700500.452580009 9322035.185685843, 700506.3686349479 9322036.592418768, 700514.8214145798 9322038.510393402, 700580.7576385714 9322056.116058419, 700649.2233224582 9322072.065194165, 700688.9245863705 9322076.730942784, 700713.422834649 9322076.913541066, 700770.8437916026 9322074.087094393, 700818.9561696213 9322065.06538822, 700829.921279192 9322063.546267021, 700843.4276414725 9322060.60288297, 700847.4983162531 9322059.704319779, 700853.5489795696 9322058.356661703, 700856.0330888608 9322043.317910913, 700887.7087286911 9321917.172563965, 700909.3635667727 9321829.549401619, 700930.3724556754 9321757.14676663, 700936.9157939323 9321734.58460667, 700962.7990350046 9321646.94705368, 700986.1597282973 9321563.012007292, 700989.8602352536 9321550.888914345, 701006.2057816542 9321497.292705124, 701027.8586634806 9321405.97539928, 701035.3521379649 9321373.102184119, 701037.3470755159 9321337.89185751, 701037.7336634736 9321331.110846993, 701040.5505433306 9321303.252544777, 701089.8112855293 9321319.675289322, 701137.6326032941 9321329.455899663, 701199.5900635538 9321342.506470326, 701240.5587716944 9321352.144363873, 701255.0163673551 9321355.545974161, 701313.7082940649 9321368.585405799, 701355.0133471366 9321376.198130026, 701382.1822693923 9321380.540875187, 701385.0714868895 9321380.542122167, 701407.1889217498 9321380.544417335, 701452.837001961 9321372.934975851, 701489.7879021477 9321359.891463965, 701513.6948837587 9321342.501480125, 701538.6202774057 9321321.856410805, 701539.3736153062 9321322.03080833, 701541.9114230648 9321322.862733666, 701554.5301006777 9321309.58113933, 701583.1235753282 9321273.83786906, 701599.0746698901 9321244.408532681, 701604.0880718047 9321227.77951216, 701624.883939746 9321135.41389962, 701634.9121191644 9321102.576113364, 701643.2597268256 9321073.592886113, 701654.9399735392 9321031.790945748, 701664.9607970375 9321000.05915854, 701678.3303183482 9320956.979565287, 701682.2714773276 9320947.321913058, 701683.3583699992 9320944.674896041, 701688.385515441 9320932.104791006, 701691.736968743 9320924.815964442, 701753.8026127013 9320800.623068197, 701815.1032511937 9320695.665822221, 701816.6009098572 9320693.37131711, 701820.1358084651 9320687.95097454, 701820.7862363573 9320687.163504392, 701825.1846342892 9320681.762338925, 701828.5432475666 9320676.585914208, 701849.5471432835 9320642.2396584, 701930.184788193 9320507.686282784, 701934.3564143262 9320500.715366242, 701950.3219755818 9320475.665493175, 701970.4753164537 9320441.897166686, 702004.0663892102 9320385.188933214, 702059.4496474906 9320281.954579266, 702082.9040744739 9320229.46150123, 702098.0093206859 9320195.643955946, 702122.1778414256 9320102.691162389, 702132.1750122337 9320060.950003404, 702140.3384118316 9320033.283340277, 702140.5244389366 9320032.652288487, 702146.365437644 9320012.116154257, 702148.8385264581 9319994.013650076, 702152.1698547004 9319980.874124574, 702159.5995994088 9319929.641232619, 702164.5442359354 9319896.234386379, 702182.8329666108 9319809.318191146, 702184.8956114053 9319787.733200327, 702195.8071486956 9319673.513084527, 702197.5064554133 9319655.745010993, 702202.4260336267 9319611.798107242, 702207.0022156368 9319467.439166721, 702207.8447577145 9319419.25917917, 702210.5299870004 9319265.804356191, 702210.7255141543 9319255.009183317, 702212.8008840318 9319140.111395864, 702214.0846806992 9319068.86990769, 702214.8059643712 9319033.807418052, 702214.8046774783 9319033.431384373, 702214.9423486887 9318953.987336379, 702215.0834990825 9318869.1017815, 702218.1667893904 9318783.553614551, 702218.9680012079 9318768.619945826, 702234.7192456354 9318684.44406679, 702250.5913309391 9318632.341601044, 702270.687400989 9318582.171203455, 702280.7653540166 9318564.208502766, 702309.1042884804 9318516.188645795, 702310.9862401579 9318513.00799129, 702277.2370872861 9318523.033339143, 702268.7996086595 9318525.48437347, 702260.3565603179 9318526.309613062, 702199.6144877292 9318544.290992437, 702143.9547209495 9318565.948919846, 702136.4583424567 9318568.463069607, 702125.3906724971 9318572.172856895, 702105.1483096489 9318579.630184637, 702084.8990546798 9318585.074618746, 702076.4954932934 9318587.735643286, 702074.7816264371 9318588.2834454, 702027.5490953109 9318607.744650543, 701988.754437488 9318621.635921018, 701944.8880572523 9318638.187827978, 701939.8339459986 9318639.521243034, 701903.55297492 9318650.461908555, 701889.2169782845 9318656.571760913, 701836.0875987613 9318676.959850464, 701795.5869831886 9318690.49181975, 701777.869130411 9318694.932086226, 701757.6214607405 9318700.851958381, 701712.0821946723 9318720.251768766, 701651.3573896633 9318743.353155404, 701614.2424529388 9318756.453138087, 701608.33672243 9318757.999564845, 701577.1269396613 9318769.387195848, 701556.053496645 9318779.855425587, 701493.6229529881 9318799.423264472, 701462.407747748 9318809.229274115, 701430.336909614 9318814.824359791, 701423.5858051956 9318815.168118574, 701356.8374415641 9318808.538556919, 701312.8927943626 9318798.933516998, 701301.8997793503 9318795.332277471, 701283.6925348653 9318792.596172888, 701283.3159948098 9318792.542156577, 701262.1956040777 9318789.240858745, 701184.4511029358 9318778.058731083, 701126.1507563391 9318768.767901152, 701110.940948936 9318765.33582849, 701017.1523702058 9318752.737163182, 700977.4429268357 9318745.064026218, 700938.5687286557 9318738.870047057, 700854.0548688347 9318719.327172814, 700700.2957997231 9318704.189121298, 700663.1169005346 9318698.46479033, 700647.0721948417 9318696.882444672, 700604.8329799431 9318693.918116197, 700601.4560000424 9318693.66415036, 700595.7429874898 9318693.285400713, 700593.0082790637 9318693.106671855, 700582.0245308839 9318692.203890229, 700568.5039298994 9318690.71249019, 700547.3953323166 9318690.839473842, 700501.7899091279 9318690.784186056, 700498.62523456 9318691.115665771, 700490.8131138091 9318691.927436484, 700450.274122413 9318690.903762002, 700405.4959718133 9318683.457616162, 700379.2939579068 9318679.852537755, 700368.3184069452 9318678.09808248, 700363.24609814 9318677.330042996, 700362.4597422709 9318677.1999928, 700357.3317881289 9318676.34366291, 700344.6534005088 9318675.125853123, 700319.2994096342 9318666.98333924, 700296.4593521692 9318655.934612408, 700255.8859242189 9318644.735880636, 700255.065874621 9318644.4621656, 700251.6526973643 9318643.323516954, 700237.2895003699 9318641.42569035, 700199.2773566481 9318638.015423212, 700140.1283027607 9318629.622431593, 700114.778306366 9318625.903761841, 700080.9888904647 9318620.798019864, 700068.1837943299 9318618.109628508, 700063.3541596006 9318617.08636779, 700063.2433940099 9318617.064623412, 700020.1586437756 9318612.775588827, 699994.8092389419 9318609.222767334, 699942.4233234344 9318604.02509587, 699899.3400774389 9318600.167306416, 699874.8458624372 9318597.452088106, 699870.428599808 9318597.256903403, 699860.4869827498 9318596.814981079, 699820.7808722195 9318593.255381692, 699781.8946180146 9318583.366771843, 699777.6741319541 9318582.440967392, 699698.2541303417 9318572.999107966, 699684.7472502688 9318572.25954085, 699683.7402672056 9318572.351424694, 699621.4302020094 9318578.379566168, 699575.8583841107 9318588.177757446, 699538.7436689308 9318601.331629243, 699520.1980077503 9318609.733381296, 699481.4450811422 9318639.283358123, 699465.4380867704 9318652.100428278, 699441.8833293208 9318678.446987696, 699420.040973206 9318710.372942867, 699404.9254171387 9318738.062392456, 699396.5201306038 9318750.057460839, 699383.0381373608 9318756.694608198, 699379.3963439254 9318756.684782369, 699374.5922625856 9318756.66781999, 699365.3049908131 9318756.599631554, 699354.3351666357 9318759.79975758, 699340.6487822672 9318958.446503429, 699337.374615412 9318988.661820574, 699337.3637702011 9318988.728215862, 699335.6496259507 9318979.35530239, 699333.9033675876 9318963.744779268, 699332.1803052962 9318951.728607751, 699331.2728341599 9318935.3853091, 699324.3402721013 9318881.93464588, 699310.685596453 9318840.68348773, 699287.7326122412 9318796.090470664, 699275.8478758995 9318777.461657243, 699246.1899764978 9318746.870822297, 699224.7579877072 9318733.129455725, 699204.7236932064 9318720.268152155, 699024.5755044526 9318642.141017888, 699013.5749913779 9318636.227936748, 698994.9793142737 9318629.798520567, 698988.2058638379 9318626.768850159, 698973.2081059441 9318620.471081486, 698972.9864276907 9318620.38335031, 699002.3133484938 9318552.831006598, 699022.4155294088 9318503.768478094, 699043.1900495985 9318437.450424343, 699045.818375594 9318429.069316693, 699071.7681347269 9318361.262834761, 699094.4083377866 9318313.19812154, 699115.3693482878 9318269.408126049, 699125.4578192467 9318251.070162231, 699146.4267761374 9318212.93166044, 699181.7013584618 9318156.429865863, 699206.0635764742 9318116.853155188, 699210.2587326241 9318110.291602366, 699210.3028216246 9318110.236154618, 699235.4701736148 9318073.089853583, 699262.3371226867 9318027.908389095, 699280.8407608715 9318003.846160047, 699306.8911702202 9317966.000051264, 699344.7121455651 9317913.028594512, 699406.9020765598 9317822.581557006, 699461.5247773859 9317743.186605746, 699510.2774064016 9317675.88871954, 699543.0543307427 9317627.313769592, 699593.4594125062 9317551.206559906, 699616.156935659 9317520.328159349, 699641.3627527332 9317481.633025035, 699677.5125783975 9317432.205964703, 699711.1116764416 9317381.360790309, 699745.5642182963 9317327.60395563, 699778.8937358828 9317278.905223696, 699779.1691061713 9317278.50613689, 699796.8167333937 9317253.495366056, 699832.1350459682 9317207.023918115, 699840.316172827 9317194.321622057, 699856.4912955542 9317169.227332903, 699874.9774151862 9317140.165779911, 699890.1061483815 9317119.863924839, 699898.4875725074 9317100.95637321, 699920.3286789942 9317068.974675937, 700007.7509434324 9316948.380202692, 700049.585808016 9316891.357428785, 700051.4588167196 9316888.796246175, 700083.4069801937 9316844.182957498, 700126.2693275741 9316783.385188643, 700154.8459005868 9316743.362057049, 700177.5442224848 9316712.914584223, 700196.8719635318 9316687.32276542, 700219.5811445598 9316660.082580242, 700237.2264044681 9316634.496458586, 700248.1086445169 9316605.670675632, 700254.3308867373 9316586.60446079, 700256.4670492769 9316580.060826886, 700262.2579076713 9316544.815524075, 700270.5346420766 9316495.20608194, 700276.0874778044 9316422.54612301, 700276.9987402312 9316410.598388653, 700277.0521642838 9316410.034154719, 700278.4560627885 9316393.229471393, 700278.6260109129 9316391.12752232, 700283.4339929312 9316314.278407076, 700290.00620217 9316261.467388906, 700290.7406136389 9316252.849268105, 700292.400237633 9316233.1349709, 700294.1452076008 9316212.48029561, 700294.8794274889 9316203.806875661, 700295.0131924488 9316200.831321247, 700295.6915790491 9316185.511122614, 700295.9897915726 9316178.818899428, 700296.4531668168 9316168.620142126, 700302.9759449338 9316101.309818203, 700310.3279568779 9316027.239095926, 700311.9466607171 9316008.520318573, 700312.0111515208 9316007.956046635, 700320.1638960515 9315941.51388356, 700322.5834233363 9315914.187812546, 700327.4859704531 9315858.683842627, 700330.663938078 9315800.564558709, 700338.8914532327 9315736.610585418, 700347.9603642852 9315672.720096247, 700349.5201313325 9315633.474422596, 700349.4566994528 9315614.860905895, 700347.1640848832 9315594.960983226, 700346.8445553276 9315592.141809616, 700346.3245614 9315592.20994085, 700335.028397212 9315593.653037746, 700308.0107749094 9315597.17365456, 700222.7207205822 9315595.351768276, 700209.2059245075 9315595.35355643, 700143.3235922398 9315591.563165745, 700086.7168427283 9315584.533781392, 700062.2946597054 9315583.123820914, 700049.5521879506 9315582.39299568, 699987.0404421008 9315577.009411186, 699958.3287528841 9315573.84442855, 699947.3367761611 9315570.342670152, 699927.0469081023 9315563.510344133, 699914.3317080513 9315551.266116314, 699911.785704892 9315547.945766144, 699911.7520857219 9315547.82422235, 699888.6600634765 9315452.578090236, 699883.523731569 9315429.646414762, 699880.0933517112 9315413.63239032, 699862.1509811999 9315354.987845803, 699836.6047541978 9315289.899166279, 699824.6993896794 9315265.154583935, 699821.2952270139 9315260.100760428, 699816.8307752616 9315249.210954893, 699775.3111960245 9315147.86719816, 699771.9045342074 9315138.820787204, 699765.8195090105 9315087.523900732, 699758.862631473 9315027.216225209, 699749.6841412848 9314964.5824848, 699749.3552976052 9314962.272100274, 699728.6694439384 9314838.936958503, 699727.7890073062 9314830.656146495, 699697.0994863969 9314747.015561476, 699696.8319283875 9314746.452420633, 699695.4051028816 9314743.493241575, 699677.561197686 9314710.485067979, 699664.815854053 9314686.064093959, 699652.0687405975 9314664.37490122, 699642.7315133787 9314649.431661025, 699639.6904616999 9314643.735136714, 699638.4763450832 9314641.483062718, 699619.8366566566 9314621.815734193, 699572.439138353 9314591.761475604, 699564.8330249955 9314587.883220043, 699558.9022979342 9314581.942142855, 699545.319842661 9314561.958995378, 699511.3252330171 9314499.044686198, 699496.8960191974 9314477.416503951, 699481.6566776119 9314464.926477497, 699458.8028187165 9314449.332401976, 699453.7237135279 9314446.451993693, 699364.9132344804 9314404.726495637, 699344.6082268012 9314393.293277659, 699327.6896316414 9314384.967416529, 699320.9272686252 9314381.82728244, 699246.5109941289 9314351.389057461, 699229.5978010737 9314344.644708104, 699225.3725500954 9314342.225898348, 699195.7633133574 9314325.504470702, 699172.8954908643 9314305.75188653, 699143.2140011885 9314270.992166892, 699120.3125451541 9314238.05641701, 699116.0703838064 9314233.912332956, 699113.5083686936 9314225.847380966, 699099.8477341435 9314182.760561261, 699097.2565574475 9314166.102252143, 699097.2454142079 9314166.080170376, 699093.0232931145 9314161.316670327, 699059.131919648 9314128.62835014, 699047.2898408571 9314122.397634136, 699038.824042414 9314116.299237806, 698998.2006633268 9314089.384829246, 698993.9715399889 9314085.81580637, 698955.8520501878 9314053.086499969, 698944.8389906264 9314039.995894084, 698923.654808693 9314020.558290938, 698909.2393094453 9314002.878353475, 698902.447877774 9313991.14484008, 698899.9044990649 9313988.565477181, 698892.2645751471 9313977.94081906, 698870.2005934934 9313943.840925947, 698866.7930091616 9313937.73642403, 698860.8663621248 9313929.693943376, 698851.5258668188 9313916.96263327, 698845.5722173784 9313904.219838655, 698817.5120807219 9313844.824447563, 698813.2381305604 9313831.29071417, 698784.2245945063 9313742.048228208, 698783.358033823 9313734.563699333, 698769.7157086852 9313696.796588542, 698755.226485049 9313657.340205397, 698739.8256810796 9313597.116662363, 698724.329412112 9313511.99790093, 698718.3732364669 9313511.553585997, 698677.0342663 9313508.46428389, 698607.7819764516 9313505.535911068, 698573.9937900594 9313503.117715947, 698496.2938035061 9313499.37729529, 698410.1400156394 9313493.02211389, 698387.335085847 9313491.67260655, 698375.5067782952 9313489.44539586, 698334.9636105769 9313485.999256914, 698318.0888428984 9313490.491321893, 698299.5320739988 9313495.088610185, 698269.9890407223 9313500.98387089, 698226.9493256806 9313508.782803042, 698147.6268659001 9313522.709817559, 698103.7307584487 9313529.283914348, 698046.1487161748 9313481.75576256, 698007.6329153101 9313442.81187186, 698000.4028863094 9313435.503698133, 697985.1497135162 9313422.007062001, 697963.1748350285 9313414.06299709, 697958.1030889685 9313413.305949315, 697955.5672160373 9313412.927425278, 697942.0558767142 9313413.758307274, 697889.7968194495 9313441.307630869, 697875.4745967243 9313451.110670825, 697866.2300532679 9313463.429239037, 697834.2576023794 9313497.191916969, 697819.1037665661 9313513.11376974, 697815.7491972815 9313519.39595453, 697813.2249689308 9313522.468017137, 697803.1557676601 9313539.688807724, 697784.6331164889 9313557.679122616, 697757.671495583 9313574.171660202, 697713.8060797779 9313586.562748447, 697673.2868145079 9313590.172161153, 697647.1033481737 9313591.266890712, 697610.8113884423 9313594.662928974, 697523.8531469727 9313602.388151523, 697486.718426312 9313605.311381664, 697447.8735399279 9313606.548213646, 697387.0867074672 9313609.59528456, 697295.9048864888 9313612.047843587, 697295.0527270562 9313612.072831228, 697294.9078801838 9313569.040053299, 697297.3114358131 9313530.112902014, 697298.1257947804 9313522.147181358, 697302.2059687341 9313481.522250442, 697304.604174225 9313441.013576955, 697307.870574541 9313405.246587425, 697316.0412292567 9313323.797600491, 697320.1536678185 9313292.772364952, 697320.1439090417 931</t>
  </si>
  <si>
    <t>North Jakarta City</t>
  </si>
  <si>
    <t>MULTIPOLYGON (((707699.025605487 9325346.397116352, 707609.371693447 9325320.396966474, 707727.5909469598 9325983.178897994, 707875.0553158224 9325966.871613186, 707880.0868077052 9325898.435459401, 707857.5962573374 9325493.222415632, 707767.5936844541 9325367.216994762, 707699.025605487 9325346.397116352)), ((690977.1106199855 9326610.322413998, 691001.2881133617 9326586.146915223, 691020.2096374233 9326566.179680685, 691032.8189595948 9326576.689946048, 691052.7887686244 9326555.668711586, 691066.4598316383 9326569.32747864, 691097.9909198391 9326594.563521322, 691116.9104460409 9326580.900060918, 691119.0149120451 9326553.565774307, 691106.3960513149 9326526.234344589, 691088.5309476102 9326495.756732596, 691066.4611504069 9326458.96664354, 691046.4881380366 9326395.892934673, 691047.1060084276 9326395.249518808, 691129.526261433 9326309.696456224, 691176.8263373363 9326246.628639273, 691210.4677367271 9326177.256442897, 691224.1307933878 9326133.108135192, 691234.6378017715 9326116.286441887, 691248.3108553332 9326099.465663632, 691267.2253870309 9326077.397031516, 691292.4503154828 9326065.83664556, 691314.5303554542 9326057.427170923, 691334.5051357076 9326031.141506633, 691367.5141916795 9326040.889571311, 691383.9061542714 9326022.732911775, 691380.7468332205 9326000.657564757, 691384.9534484735 9325976.479451207, 691421.639675338 9325986.823954612, 691445.9245775628 9325961.76305647, 691463.7974578277 9325942.84957765, 691476.4043211451 9325924.98149958, 691463.7949097205 9325890.284585662, 691498.4837666943 9325906.05451066, 691540.5224679848 9325862.95411537, 691575.2092294614 9325836.676404258, 691602.5478642323 9325814.60268405, 691603.5960507881 9325789.384026544, 691624.6164552438 9325757.841657218, 691657.2007423553 9325728.407648737, 691669.8192924804 9325745.232619323, 691780.1940803465 9325636.960900731, 691808.8281324253 9325683.882159632, 691875.8405501989 9325620.14179277, 691890.5628044907 9325623.301660495, 691912.6330867417 9325622.246395744, 691924.1997588564 9325614.887897836, 691933.6573033497 9325564.426807178, 691954.6848789521 9325545.514010923, 691949.4287531046 9325525.535602314, 691957.8346056838 9325512.923006035, 691987.2606018089 9325544.45808641, 692015.6417170224 9325540.25266675, 692040.8724882243 9325520.286721494, 692076.6141630574 9325481.386464432, 692091.7391219381 9325458.345341196, 692120.3443281082 9325520.296272602, 692278.0249844426 9325406.62874334, 692330.9612327402 9325485.399924561, 692357.3305482569 9325495.843432887, 692557.060613344 9325353.09696778, 692757.0364711598 9325286.658634534, 693110.9441874635 9325214.401627624, 693116.2015613981 9325231.217041548, 693120.4047053116 9325257.491675384, 693139.3285582458 9325252.243520752, 693146.9943473012 9325322.246959595, 693168.1627133035 9325353.75305752, 693220.8872492653 9325366.742992962, 693262.3142592548 9325302.696334627, 693266.5174663169 9325328.970977344, 693270.7266620537 9325360.50988956, 693277.0272237908 9325395.193963148, 693288.5886649216 9325420.427297056, 693316.9672596987 9325439.346495269, 693356.9141191214 9325444.602967095, 693394.7619185927 9325447.753867269, 693415.7376313617 9325447.09970927, 693489.7114345348 9325410.60696392, 693598.3159172968 9325412.709769493, 693666.4453912369 9325488.9757656, 693700.68743419 9325486.232443033, 693724.1746868931 9325420.374547565, 693779.2349442899 9325341.24224312, 693808.1537668705 9325325.355372433, 693947.3465393737 9325198.592733061, 694110.3447935323 9325100.694737025, 694228.2725447068 9325042.39217445, 694358.2843119921 9325006.533854304, 694425.2718254048 9325000.520240927, 694676.2694438178 9324975.171102533, 694852.7726029939 9324982.479849072, 694965.3344308424 9325020.057026828, 695022.5438287165 9325023.16563768, 695031.8660974165 9325023.544342635, 695099.6833692044 9325057.916643487, 695131.7471613965 9325062.744256405, 695241.8945091057 9325147.143926274, 695259.2311327432 9325228.518526401, 695277.852329742 9325286.354231048, 695304.3972616133 9325346.796163397, 695299.2485352929 9325383.652345385, 695317.9473430141 9325465.177338503, 695339.0850835227 9325483.522260431, 695402.2460629392 9325464.90126993, 695457.3908551683 9325412.088229824, 695528.3325506519 9325359.22332569, 695567.8761458758 9325369.61131482, 695607.3618477326 9325358.964197816, 695622.9689580898 9325301.016235365, 695657.0470881358 9325248.272008957, 695720.0498599062 9325184.90411112, 695756.7600666579 9325134.7833175, 695917.1305668283 9325039.520279432, 696013.1999899979 9324999.89874687, 696039.7436407146 9325052.974862983, 696062.0934768119 9325045.989127865, 696032.7565964098 9324981.740967141, 696021.7169119624 9324960.70877221, 696122.2183242444 9324925.695336694, 696096.7533247687 9324870.74663145, 696102.4753308339 9324867.000725187, 696140.3082953958 9324858.82485439, 696155.6736254952 9324858.818524493, 696159.8598208822 9324872.784064768, 696183.605308267 9324872.794385795, 696190.5895364824 9324882.570191702, 696203.1631390483 9324902.115334954, 696249.2621669411 9324889.554707613, 696288.3721408569 9324882.568972727, 696299.5419103152 9324882.565365082, 696320.4968509441 9324875.584099295, 696324.6803519191 9324885.358061615, 696330.2716380596 9324892.340368632, 696342.8362724023 9324892.343218386, 696352.6129572098 9324906.312461838, 696373.5697577081 9324896.533093557, 696377.7541571908 9324913.296718473, 696391.7319171368 9324935.64635382, 696411.2795940144 9324988.723324962, 696448.9938297769 9324991.518785752, 696492.2930012813 9324985.923694454, 696524.4205274631 9324983.130302403, 696559.3395250842 9324994.3070326, 696590.0666341236 9324999.890347913, 696618.0031305914 9325015.259549659, 696590.966397842 9324957.186226422, 696537.3049689734 9324798.104830131, 696508.2493761772 9324715.253597332, 696498.1988368628 9324688.743686745, 696480.351892811 9324647.881999949, 696418.5017771504 9324644.104472524, 696404.9410379737 9324607.210107813, 696400.3240584261 9324590.19354228, 696393.7470973168 9324569.644366063, 696426.7002659249 9324552.094729941, 696407.9524941596 9324486.45144841, 696401.4965294988 9324472.382802503, 696399.1519854275 9324463.011990795, 696396.8160163454 9324449.526979141, 696394.420191619 9324438.032893265, 696391.5377269655 9324426.67312731, 696388.8159308028 9324417.038129516, 696376.883795253 9324383.887610368, 696366.9232470766 9324351.073439203, 696354.6166878348 9324311.797138635, 696372.7791431344 9324300.666589987, 696373.1798486431 9324301.328844681, 696396.3096074589 9324339.596208066, 696400.7704063534 9324349.535139091, 696428.4578207553 9324423.742241113, 696439.8288872271 9324444.518913891, 696443.1681114454 9324450.037703086, 696445.4076352004 9324457.772039937, 696452.0970286056 9324472.127463587, 696465.4138129768 9324482.037187131, 696478.2795277247 9324502.864227654, 696483.5485271015 9324512.822613023, 696489.411476154 9324521.61778065, 696497.6173946005 9324529.232901542, 696502.3107963892 9324539.204245, 696506.403578757 9324555.028101861, 696516.9613056416 9324570.852752872, 696524.5801849458 9324588.43451611, 696527.5100564444 9324600.734195014, 696531.0261432566 9324609.526044542, 696536.8824345676 9324623.010507995, 696545.6775463114 9324634.726799197, 696552.7105975515 9324645.862743655, 696564.4251290859 9324673.417823957, 696568.5370697825 9324681.621548902, 696572.0440282983 9324690.999588385, 696593.7380206807 9324753.702368947, 696645.3039642661 9324737.296714691, 696673.8945700862 9324716.08955288, 696737.3147317348 9324689.060619453, 696746.1634426516 9324686.819478389, 696928.5519747979 9324605.481666675, 697000.4046724809 9324574.277146801, 697033.5708140458 9324560.895902302, 697076.6889778079 9324544.163821328, 697259.0841870185 9324465.036641955, 697343.2052450293 9324461.440108245, 697476.045316256 9324464.317750273, 697478.7476241017 9324354.497420706, 697556.1689231955 9324356.894971134, 697556.1704266346 9324343.999396624, 697556.1627032688 9324334.996854808, 697555.8666432708 9324312.491418233, 697554.665159065 9324280.676747093, 697555.5676087142 9324232.36513454, 697552.8621114128 9324214.357915698, 697551.9680278942 9324198.457083173, 697551.6707310828 9324182.255659625, 697551.7150109509 9324182.255512707, 697574.1712422715 9324180.75430292, 697599.081939651 9324181.655946273, 697612.3411280578 9324514.44159562, 697733.2120765764 9324516.539991817, 697742.214111551 9324517.140511813, 697744.6121563462 9324432.514978519, 697771.9151353014 9324433.718310073, 697771.9188775662 9324471.520271998, 697771.0221019804 9324504.834994595, 697771.6194449905 9324518.038264867, 697911.3032187624 9324521.489482747, 697963.9634541654 9324521.31450639, 697983.258557449 9324521.250382088, 698075.1437037517 9324522.050899485, 698128.7028639878 9324522.53637051, 698126.9087530808 9324548.941831114, 698125.9400423107 9324607.174349286, 698125.103790694 9324638.66408249, 698125.7001017989 9324654.86455297, 698142.8112944211 9324667.172391951, 698154.2104359566 9324672.874466017, 698147.3072234086 9324687.573639972, 698137.3555664676 9324937.445246143, 698097.9249693267 9324961.266162757, 698090.458086992 9325092.868129268, 698091.2186187812 9325321.81226756, 698125.4762646176 9325326.962889768, 698177.4999917061 9325921.53616482, 698196.476069168 9326082.00461979, 698237.0018854139 9326134.392581403, 698302.4889194006 9326182.59450651, 698429.0077338753 9326207.445679905, 698579.7591612872 9326188.729252506, 698744.6845065459 9326077.970467381, 698780.5082738393 9326077.851215953, 698818.3933655435 9326065.094870314, 698847.8117836798 9326039.725423023, 698884.8940103804 9325952.130493443, 698844.1977997 9325523.192758953, 698811.8159398186 9325336.911051255, 698822.7313416211 9325290.42379581, 698841.3073760305 9325217.367632879, 698849.9865330795 9325164.251974523, 698852.0604193032 9325122.218072472, 698847.5401223409 9325094.583815344, 698818.6004488422 9325037.601051781, 698814.5711138297 9325017.762271198, 698814.905757298 9324998.605700005, 698831.3726313796 9324993.562839946, 698833.3878658712 9324977.099236034, 698831.3733335475 9324957.264795043, 698817.9306297182 9324956.258958, 698812.5458048398 9324951.543352844, 698808.8523984299 9324942.807423634, 698807.5071568904 9324937.768672794, 698810.1993163101 9324935.072178887, 698808.5141123707 9324927.678839145, 698808.5173623972 9324925.334165212, 698802.462723413 9324918.939715052, 698781.6305461647 9324916.255319573, 698772.2106850145 9324913.223188346, 698769.5276387068 9324895.414911425, 698760.4504272847 9324878.944065949, 698754.3986247772 9324860.118469067, 698756.0796517263 9324846.343500638, 698737.5925663298 9324826.508698795, 698729.5216470569 9324809.702706393, 698732.2149627098 9324754.240249299, 698736.2530659353 9324720.284476157, 698737.9319716775 9324682.642620394, 698742.2940480709 9324639.616785148, 698745.9991777606 9324585.500229962, 698751.3700369572 9324549.538190661, 698754.4047219334 9324480.294155018, 698758.4364775755 9324454.411992427, 698759.7786079571 9324438.614218395, 698759.7736577796 9324427.178473247, 698767.509352544 9324423.149035987, 698772.5517351775 9324421.462189106, 698772.8917910056 9324400.62451987, 698774.2318114415 9324387.514265588, 698779.2725153025 9324372.0580563, 698787.6818751264 9324357.597037526, 698792.4869488928 9324357.78007406, 698786.4163029715 9324383.060766043, 698782.7530463987 9324396.621164676, 698782.3924318478 9324407.980713194, 698784.2176723195 9324414.212310456, 698784.2237289756 9324419.344006, 698798.8022149368 9324422.369954996, 698841.9827311162 9324424.382464917, 698983.6068188234 9324425.247728117, 698998.518379204 9324425.24214916, 699017.9050985723 9324432.698001254, 699031.3172484701 9324431.215418689, 699047.7221855995 9324434.190969288, 699082.0166253219 9324437.173083875, 699122.271853742 9324441.65043888, 699197.4325577072 9324453.056109887, 699227.3514428602 9324461.803852316, 699258.3995498572 9324477.183659794, 699263.9753037067 9324489.330742216, 699262.9274846833 9324507.029860578, 699254.2526481893 9324561.251690257, 699220.5897684852 9324757.121939898, 699205.3687991707 9324840.12097758, 699182.638826235 9324995.033477537, 699147.8680257408 9325190.90721431, 699121.7979601873 9325340.3008665, 699107.6687300061 9325418.872234326, 699105.5026632167 9325433.257134192, 699075.1627522424 9325630.221836375, 699065.4060750729 9325692.188946865, 699056.7748368139 9325759.682165654, 699119.9053177369 9325768.3193667, 699119.9274569518 9325774.9551401, 699196.3534809578 9325786.865833577, 699229.5866997631 9325793.390757756, 699254.5684809607 9325649.530571653, 699256.716071113 9325629.615844052, 699293.6052104286 9325404.979600042, 699416.555710525 9325425.582235822, 699458.9457565317 9325190.973470978, 699445.8306543613 9325188.650548639, 699450.3062573635 9325149.882158741, 699466.5580520306 9325150.026870407, 699516.4000949303 9325157.60195421, 699575.1094756708 9325168.465253765, 699572.9287376406 9325178.426348107, 699582.9030795107 9325181.710896218, 699583.973088269 9325170.647541465, 699630.4941119673 9325178.233655198, 699628.3133817235 9325188.194754152, 699640.4980819046 9325190.3659166, 699641.5717837424 9325180.408523006, 699658.188294031 9325183.670821307, 699687.3743823813 9325191.635669446, 699681.4137511753 9325219.968663111, 699678.4320879737 9325245.305539623, 699671.6762913392 9325244.454437392, 699540.2630804556 9326003.594460925, 699567.9649956813 9326011.243707012, 699604.5084677201 9326014.439475235, 699608.918147586 9326008.894846685, 699611.1026498672 9326000.039725773, 699621.9918622939 9325945.810432848, 699631.7850969002 9325894.902728269, 699639.3642241966 9325844.00242172, 699650.2274439437 9325782.031349204, 699659.9909858308 9325722.275900869, 699688.2557903191 9325567.34444808, 699703.4544012485 9325477.709371286, 699707.8010773377 9325453.363306258, 699713.2695896829 9325433.437395575, 699723.1576956516 9325394.418564672, 699739.5638106245 9325288.554701326, 699764.9061709613 9325160.320113162, 699787.2775756551 9325027.616219355, 699802.1862712225 9324944.120168176, 699834.003932725 9324792.671365451, 699868.76826257 9324595.690503897, 699870.941483035 9324583.517442534, 699884.0587018928 9324533.704368941, 699927.4281152212 9324268.68779469, 699933.3894863653 9324237.379616056, 699936.3790085199 9324204.57728137, 699940.8448160512 9324176.249205474, 699943.8361349639 9324153.87625036, 699949.7943071947 9324131.515449898, 699952.7806381116 9324107.66049615, 699957.2513948209 9324080.814409912, 699961.7271963254 9324055.472437551, 699967.6924348697 9324028.632387234, 699970.6716114302 9324009.245611005, 699975.1442419762 9323992.851022247, 699979.6189437837 9323970.484133398, 699982.5970709964 9323954.083503723, 699985.5812485963 9323936.189779937, 699988.5654228257 9323918.296055365, 699990.053028218 9323906.368591528, 699991.5466851703 9323892.948033972, 699994.5237636524 9323879.533550948, 699996.0134346301 9323861.633786531, 699999.0005438682 9323851.205415068, 700001.9836308657 9323836.286777128, 700007.9467334488 9323815.419009091, 700010.9308843021 9323797.525278902, 700015.4045039418 9323778.144527812, 700019.8780816981 9323758.75271572, 700027.3235136768 9323740.86610492, 700034.7831396442 9323714.032062598, 700043.7321869993 9323685.69993567, 700052.6701521627 9323657.36784184, 700058.1373928814 9323627.322085574, 700078.0633955011 9323627.255075203, 700111.1841192907 9323600.600136027, 700191.775531239 9323535.07608824, 700252.531023115 9323167.685644148, 700453.903088838 9323137.145469196, 700498.4839758947 9322898.102749655, 700574.9072866738 9322910.010680439, 700513.5826037386 9323281.816951908, 700524.5773883201 9323282.465584153, 700532.9839657497 9323283.764413545, 700545.2650312257 9323285.050174525, 700553.6804338024 9323243.016539793, 700556.9053299413 9323217.800298378, 700559.4901513073 9323196.45715727, 700573.6427318668 9323197.946730757, 700584.0744302701 9323199.039640682, 700616.4054554318 9323204.217156835, 700635.1622574129 9323120.143322377, 700660.8287811731 9323112.115725556, 700685.171445354 9323108.715599032, 700707.303855894 9323106.428908654, 700720.5327376015 9323113.03120878, 700748.9892823417 9323164.12008498, 700768.3870681601 9323194.513398852, 700789.081970201 9323232.024873482, 700800.0780237736 9323252.713893864, 700845.0344527892 9323243.105880285, 700873.7939647835 9323236.372813854, 700890.3839776319 9323231.892821478, 700919.0807353371 9323222.970090745, 700935.896367615 9323219.73908482, 700966.9328456648 9323211.98076466, 701003.3910648127 9323203.452025842, 701016.7536471349 9323200.464925153, 701022.5522762372 9323239.132712409, 701041.305859182 9323340.87533002, 701065.1473600572 9323516.646534007, 701073.1020005931 9323577.448887343, 701076.4977807556 9323599.557133853, 701078.8015079808 9323626.0930168, 701085.5930674229 9323670.309511738, 701099.1612362787 9323754.318611639, 701207.6181479215 9323745.104072107, 701245.2340004507 9323738.34093918, 701277.3185488043 9323732.702478498, 701455.217556057 9323706.717994655, 701800.0649879118 9323657.383514792, 702245.5441481299 9323592.707578778, 702308.4752672483 9323510.384668015, 702311.1262596782 9323485.877902884, 702326.8692895535 9323339.788999941, 702410.5032424431 9323352.378155865, 702414.0396446951 9323350.596528826, 702440.5250053194 9323326.174505943, 702439.3916417457 9323318.436406638, 702431.495749418 9323275.329523869, 702434.7000416487 9323241.03280254, 702442.2683256592 9323187.919322146, 702447.7430935174 9323170.204775091, 702456.5953654677 9323169.068636114, 702499.674749362 9323160.881338809, 702504.2049321713 9323145.35986686, 702523.6053142974 9323085.21615828, 702545.9650831451 9323081.390653467, 702573.6175622569 9323074.660456501, 702588.932764385 9323072.927150372, 702607.0324396929 9323076.16132685, 702636.1358522531 9323079.391168885, 702669.118274623 9323083.923907056, 702746.7311437425 9323093.624264117, 702821.7470338359 9323101.386834979, 702964.6830752352 9323100.733081875, 702966.6187850804 9323032.187838154, 703014.4325684446 9323032.677088818, 703014.902283575 9323011.385036549, 703022.3103416129 9323002.279494978, 703101.3418532617 9323005.957901645, 703121.139396676 9323020.102321694, 703415.0887766116 9323014.363393398, 703452.7635261192 9323031.366383266, 703463.5293429333 9323036.22911168, 703467.995233169 9323047.273823127, 703466.9374399381 9323061.655441731, 703468.1315187942 9323087.08935049, 703492.4857157618 9323087.005985314, 703521.2603791557 9323084.695475636, 703555.5928142682 9323089.001921935, 703581.0388814823 9323084.49078002, 703613.1307936197 9323081.06286305, 703668.4888590937 9323083.085221488, 703795.7912495966 9323081.542918112, 703856.6616709341 9323076.910192978, 703902.0111838621 9323065.694630861, 703913.06232317 9323060.126710182, 703919.3588449706 9323052.960334623, 703939.7575296896 9323029.27719831, 703960.321527818 9323005.383342098, 703953.8460722392 9322960.402316503, 703922.0892792242 9322916.304368319, 703894.3438656827 9322892.708996305, 703842.7462614479 9322883.208486836, 703812.8055765262 9322877.980251864, 703781.8207631774 9322881.404517036, 703765.2384154426 9322888.097387517, 703717.728118159 9322914.804304779, 703676.8181361972 9322929.322539879, 703649.169489203 9322937.159295518, 703625.7234590835 9322937.350231936, 703608.1344830757 9322937.808653612, 703586.3862767733 9322935.958716743, 703580.3530598001 9322932.738802226, 703571.9716871366 9322903.292599414, 703565.6236330401 9322895.417501219, 703553.996199527 9322897.558729904, 703546.7364093203 9322894.984495156, 703548.2001069009 9322885.998758946, 703553.7053963405 9322877.297798967, 703557.5870911579 9322856.757135097, 703570.1100804671 9322821.974760726, 703592.120073646 9322787.159872966, 703655.2353158018 9322759.315673916, 703675.7885485954 9322758.128160076, 703698.6881762177 9322756.799874447, 703720.5524287252 9322769.908447659, 703735.3893561561 9322767.523911547, 703758.7894208196 9322766.857488463, 703795.4932726912 9322791.262726562, 703801.4434291678 9322792.857080836, 703829.7976974256 9322790.658417128, 703870.0550422056 9322776.319235584, 703890.8701093853 9322774.002627188, 703955.2868489753 9322783.481187792, 703980.7669716106 9322788.923734277, 703990.7452155862 9322793.313489992, 703991.8750038593 9322799.945628632, 703985.3620544453 9322837.572084568, 703958.4388515451 9322847.109763237, 703957.0441936404 9322860.065841371, 703968.1511485964 9322883.67405728, 703979.7249389295 9322930.407189244, 703996.3847183092 9322975.297962751, 704009.7960991731 9323015.554675814, 704019.5223698803 9323033.604439901, 704029.2529430906 9323046.455975203, 704038.150793839 9323058.59146652, 704055.8971492845 9323068.48457686, 704074.2688721974 9323073.509122469, 704099.6557156562 9323077.536294453, 704096.9423548151 9323090.098748952, 704145.6904679493 9323104.67438661, 704165.7505368718 9323111.341057241, 704233.766641322 9323134.012767285, 704252.7459679273 9323141.877611917, 704287.4436053098 9323152.53087294, 704322.6156427043 9323162.70690508, 704341.2307931405 9323167.675247015, 704317.911259342 9323256.268939566, 704359.0471362195 9323268.758146942, 704385.7434859849 9323154.5266777, 704403.8017754103 9323142.420196906, 704431.2481976585 9323124.032495577, 704547.7230566449 9323157.48668497, 704568.7753945367 9323162.944278315, 704574.8128297294 9323170.57706536, 704586.326350933 9323180.347720323, 704584.9042125423 9323191.72235671, 704577.1029339659 9323253.807199415, 704611.9015146148 9323261.573285026, 704620.9117576616 9323193.73303367, 704647.5030166326 9323200.277548322, 704940.072278169 9323291.068454342, 705153.9563685744 9323356.69146874, 705171.6992689021 9323365.478331773, 705191.6905676118 9323384.211518548, 705227.2374706663 9323419.481170192, 705268.4073345768 9323480.169634124, 705276.1870546849 9323488.990864433, 705293.9223830923 9323495.565714372, 705303.8932586922 9323497.743319957, 705317.2081221704 9323506.54544219, 705360.4356394508 9323521.88036079, 705379.9841054848 9323521.33728391, 705392.022065388 9323513.000639759, 705411.9169828076 9323506.992662473, 705443.3826285983 9323517.634417798, 705482.2499442332 9323536.600975348, 705504.0022187554 9323549.101177908, 705524.3674694784 9323560.666057795, 705545.6485189366 9323574.550392712, 705591.0038359925 9323609.719673753, 705670.1269419522 9323677.74243131, 705696.1226710218 9323707.227329893, 705707.4236854615 9323789.929036431, 705691.8171541225 9323848.402544579, 705655.5441158428 9323869.055484599, 705586.098331324 9323897.719914628, 705578.0402784157 9324170.567580463, 705604.8833585756 9324176.115551436, 705624.3122813823 9324179.355432162, 705646.0660335028 9324182.59833787, 705669.2005064731 9324188.148031926, 705678.455490084 9324188.149243386, 705692.8078432044 9324192.77809485, 705705.7589072915 9324195.553684354, 705719.1797457972 9324199.721223664, 705733.5272926339 9324202.95650835, 705751.5676250776 9324204.807574661, 705767.7734418116 9324207.582965763, 705851.0582919123 9324233.496544143, 705927.4194587166 9324261.25889355, 705926.4924923341 9324217.298070282, 705928.3391783091 9324203.886802303, 705929.265744833 9324199.713927563, 705930.195288159 9324189.999915624, 705930.6598726216 9324180.287511641, 705932.5034401584 9324169.176761307, 705933.4361560089 9324160.38072903, 705934.3547637181 9324153.907373521, 705936.2095369934 9324146.037202999, 705937.5976446965 9324134.474561632, 705941.2959773822 9324115.493638832, 705943.1503671303 9324097.912670555, 705945.0048940276 9324083.572320772, 705946.3849600261 9324069.68707748, 705949.1677904543 9324054.878989771, 705951.0209476994 9324046.54429688, 705951.4824471924 9324039.143469794, 705951.9358078764 9324026.190482885, 705955.647079659 9324014.15527539, 705956.1100425458 9324003.978348827, 705962.1173160498 9323983.617973667, 705964.4353183996 9323972.052110681, 705971.3726389328 9323954.929134274, 705973.6869902518 9323932.712370712, 705982.9431227909 9323923.4561837, 705982.0142394544 9323910.961443031, 705960.2748113131 9323908.647686264, 705965.3562530037 9323873.480987638, 705969.5288468893 9323850.804326545, 705972.3068598392 9323834.613731228, 705974.6185602342 9323824.430403834, 705976.9269358201 9323810.088475855, 705979.7027467778 9323780.470879046, 706003.3082375233 9323781.395637285, 706037.0873596467 9323779.077720894, 706067.1610922449 9323777.69060814, 706107.9085765431 9323783.212281803, 706125.4659578912 9323805.459782008, 706139.8187224031 9323819.799316386, 706168.5411494758 9323830.9811676, 706212.9323498523 9323836.921506118, 706205.5214476425 9323870.702764364, 706199.7796284539 9323900.551882906, 706199.802619117 9323907.18789322, 706199.8485997687 9323920.4599138, 706221.0624564842 9323972.369125389, 706218.024399684 9323996.568200268, 706213.8507247653 9324028.502253037, 706213.8529166197 9324041.918207677, 706235.6029839364 9324066.451697137, 706268.0065533067 9324101.610261198, 706346.6676783145 9324166.858048143, 706379.0565079513 9324188.14719923, 706421.622782402 9324216.844547285, 706462.2416583832 9324245.825133376, 706481.7831390271 9324271.903605795, 706507.7763479082 9324287.695870697, 706536.6171429433 9324304.186103458, 706574.3373690108 9324327.28162981, 706609.9625620792 9324346.40274728, 706658.6113025846 9324366.805883033, 706670.5790434742 9324376.48624953, 706681.6930370668 9324388.978862014, 706685.3943747773 9324399.628027294, 706692.7984130002 9324418.128128977, 706744.8462529858 9324454.567745278, 706783.9608854556 9324483.840993727, 706800.1547635798 9324495.873556014, 706869.0978959497 9324548.623526989, 706973.6781772248 9324636.55379636, 707045.8743092113 9324707.807125734, 707067.1587320485 9324738.347791245, 707086.5899209498 9324773.98258623, 707108.79893635 9324793.41559795, 707156.0064996389 9324825.812756509, 707204.1251031335 9324859.124722973, 707236.5195269542 9324881.80718048, 707253.1848092324 9324892.444454806, 707261.5134340391 9324896.607313253, 707251.7948625095 9324842.932743786, 707213.2597268411 9324649.347246014, 707211.0697048188 9324646.73359361, 707205.051277929 9324635.163428923, 707193.0375128845 9324602.743508281, 707180.9869698965 9324534.278513413, 707177.2928514315 9324513.000468818, 707176.8250741279 9324493.093729336, 707179.2797132945 9324466.750847252, 707174.7860972199 9324447.96413007, 707110.4346227117 9324407.26517484, 707088.258936105 9324397.388101302, 707049.4274767545 9324373.190668683, 706995.0781020161 9324343.517059205, 706939.6140544624 9324311.635251796, 706903.0160446251 9324292.960092166, 706861.9821785776 9324272.0882889, 706820.9445063799 9324250.110460933, 706732.2193029684 9324203.965800032, 706608.0035311865 9324139.14192121, 706581.3845379171 9324124.856065525, 706529.2574791324 9324097.386493025, 706463.8190996561 9324062.22094098, 706385.0656231132 9324018.253377441, 706375.0562269106 9324005.015888248, 706372.8114667971 9323996.175543128, 706354.7652001239 9323900.014726099, 706350.2450071041 9323873.4860175, 706353.3705428597 9323817.068369929, 706355.5309272466 9323801.57665575, 706357.5915871413 9323757.32887227, 706358.3725788089 9323663.314805947, 706364.7961190965 9323600.249611538, 706364.665671766 9323562.645517955, 706363.4550426407 9323532.787283862, 706362.2751065935 9323511.777071929, 706365.4273672851 9323463.101427246, 706367.5032805596 9323423.2776439, 706366.1698186072 9323358.027318241, 706368.360850726 9323351.383617971, 706363.6755712923 9323277.296793982, 706361.2542331696 9323217.580323916, 706357.7565664775 9323166.715719461, 706357.7066598992 9323152.33768226, 706322.1973754121 9323128.128574885, 706164.7466314407 9323055.677816499, 706156.978288338 9323050.174683688, 706161.3450057328 9323032.463297006, 706107.5594542578 9323008.46127763, 706162.4924735777 9323031.353302017, 706190.1388218381 9323045.17107894, 706212.257780906 9323054.849404361, 706224.6883332818 9323057.615559218, 706231.6084209863 9323045.170996662, 706417.3913247462 9323121.64866717, 706516.2200699756 9323186.339234315, 706483.8876315714 9323232.185332324, 706485.0241025216 9323247.03519234, 706488.716081751 9323261.378470374, 706486.5365903432 9323271.340190992, 706485.4756490798 9323284.616077669, 706463.3201521983 9323360.11228973, 706468.2470057422 9323424.034011653, 706467.2359590556 9323451.687939104, 706458.4910323666 9323483.79277786, 706451.8757059586 9323491.55785577, 706447.5665711857 9323525.85932564, 706450.926058339 9323536.907831695, 706450.7610773963 9323553.166847833, 706439.3316972933 9323564.587422809, 706424.4846635202 9323573.719339423, 706425.6210993036 9323588.569196355, 706426.7733842153 9323607.986846123, 706422.1982647264 9323626.263051394, 706426.7721504691 9323649.108540082, 706421.0607288812 9323668.52788333, 706426.7661304863 9323685.662402414, 706429.0547420131 9323703.947973112, 706417.6288329375 9323761.058054559, 706423.3415639385 9323809.028285243, 706415.346559953 9323846.726931203, 706431.0397412094 9323867.675748354, 706427.9055559925 9323883.281449454, 706435.9009300335 9323893.561789587, 706449.6158328791 9323902.705213675, 706477.0257779327 9323915.262959247, 706497.6118144686 9323910.579450509, 706541.977905503 9323934.757878669, 706565.2641711665 9323945.737238737, 706584.3986771557 9323959.816789934, 706604.9600116997 9323973.526399538, 706619.8103979998 9323978.086944804, 706631.232907765 9323983.79858453, 706641.5199520413 9323994.082016729, 706648.3703386306 9323999.798466284, 706659.5547830121 9324000.710812815, 706688.3763274067 9324011.670922115, 706672.9660265564 9324037.162833383, 706705.1279274883 9324053.641432857, 706723.8862431826 9324035.880009566, 706746.065552827 9324046.863165142, 706802.6478109946 9324082.059218248, 706883.6274599816 9324129.336671172, 706909.9551235824 9324142.583769513, 706935.0887654629 9324156.288477534, 706951.26116648 9324158.964134447, 706967.8938055738 9324166.648454955, 707097.6570410915 9324234.770488868, 707137.4647009358 9324221.359786084, 707137.3992944594 9324202.557669565, 707134.0435164669 9324192.615161277, 707105.2756040081 9324197.139310073, 707092.944181223 9324152.941400211, 707137.191520684 9324142.833298732, 707136.0382973142 9324129.565067697, 707121.6582046105 9324132.933155999, 707116.0537041753 9324113.04429008, 707133.7472413079 9324107.452633353, 707095.6805100967 9323984.81683422, 707042.9952742788 9323796.976741126, 706973.1054455928 9323755.191124003, 707007.2043948645 9323692.029386444, 707058.2398608781 9323723.926382147, 707104.704788521 9323714.91650981, 707117.8513810197 9323732.500712803, 707171.5410735263 9323766.766345814, 707176.1089009139 9323749.62924302, 707163.4588369853 9323737.938407442, 707178.8881049611 9323717.976315364, 707220.6506236094 9323754.207913809, 707256.0668709375 9323789.609965473, 707251.499058003 9323806.747080263, 707232.082152779 9323810.177003874, 707219.5139182215 9323812.454931676, 707196.6642721116 9323812.457071196, 707208.0948222808 9323839.53690174, 707188.1757333751 9323841.818293925, 707190.4745316639 9323866.142745748, 707235.8633546651 9323865.984713586, 707305.6864132571 9324206.396091975, 707369.8742985323 9324518.070652144, 707384.2621960274 9324516.914544769, 707392.046252483 9324526.841640333, 707407.6105220106 9324545.589822441, 707415.406137404 9324558.834942073, 707422.291072374 9324628.490340099, 707426.8617730598 9324669.397231929, 707429.1259467779 9324683.767632434, 707429.1952484444 9324703.675782226, 707433.6927946776 9324723.568517376, 707419.3125427705 9324726.936638141, 707422.67607494 9324739.091168879, 707438.1787919877 9324740.143227909, 707441.5808277732 9324763.35784262, 707460.801284676 9324878.317207767, 707481.9255461129 9325031.339232927, 707499.3446023855 9325070.852075286, 707688.0207736208 9325209.587212633, 707802.3801831029 9325202.497376911, 707777.6368920361 9325072.26083894, 707769.4103972602 9324802.032644344, 707703.5114590232 9324635.252828691, 707685.8138956446 9324639.738612212, 707682.3924761557 9324610.99393465, 707671.1098285494 9324550.201988311, 707651.9505433228 9324452.938741105, 707642.9784142186 9324419.789326198, 707631.7767541405 9324382.223592939, 707630.631141128 9324371.167356577, 707613.6667208663 9324268.366361747, 707596.8565496383 9324209.805754082, 707582.3607538978 9324179.993674848, 707567.8649690881 9324150.18159623, 707561.168678622 9324134.720622832, 707561.1416881675 9324126.978558011, 707569.9865307987 9324123.629653946, 707577.7705948477 9324133.556720307, 707588.8912413666 9324147.896244574, 707593.3657236814 9324161.152918283, 707600.0581681959 9324175.507881932, 707616.7333721474 9324195.358153343, 707625.5936520196 9324196.433281647, 707636.6526114221 9324193.076649256, 707647.7115701623 9324189.720014421, 707651.0828709629 9324204.086558916, 707669.0657233135 9324281.445473444, 707684.9116139921 9324380.932313146</t>
  </si>
  <si>
    <t>Bogor Regency</t>
  </si>
  <si>
    <t>POLYGON ((718019.0899373599 9302970.886905476, 718031.7176802246 9302962.090011436, 718036.7491525091 9302952.204656305, 718036.704317898 9302940.336449193, 718031.7144803156 9302926.08670159, 718029.0294154355 9302918.43162165, 718008.5676872858 9302866.135426484, 717998.3019039477 9302832.206100091, 717984.6297861033 9302790.115618737, 717988.7876748113 9302771.639225231, 717998.8572687025 9302756.569383144, 718019.9099071813 9302739.72147301, 718031.7243681159 9302738.30527511, 718056.2270768469 9302744.11921713, 718108.3341590525 9302759.41864142, 718128.9310463805 9302765.468540166, 718148.3987625467 9302780.216597667, 718171.1938057127 9302779.289784158, 718160.9746564324 9302754.79526322, 718154.972115355 9302730.295861363, 718156.530688728 9302697.593839081, 718159.7517754792 9302656.755740345, 718171.3986569265 9302611.030023092, 718182.3211651451 9302575.693258444, 718185.5847825548 9302563.668734541, 718193.8623869249 9302519.603823485, 718203.7847909417 9302465.65526395, 718206.1496143264 9302447.163484966, 718215.2647322679 9302375.841229465, 718225.4853512594 9302292.513656957, 718233.2901835862 9302228.839450626, 718239.2737563204 9302181.066707313, 718243.1197966959 9302150.424393542, 718244.6337412966 9302103.0556976, 718244.4977689693 9302067.141324814, 718246.0934689682 9302044.294431958, 718251.0632987886 9302018.171783622, 718264.4710061343 9301990.380160615, 718297.1916306837 9301936.511093963, 718335.8699554786 9301892.375175612, 718368.6893589152 9301864.609503224, 718411.6894319451 9301848.25330463, 718453.8672295976 9301836.866553824, 718550.4728423397 9301810.849864602, 718581.230093387 9301802.570206622, 718609.3906810689 9301795.373294966, 718722.1105126034 9301766.596255444, 718802.4883425862 9301748.449721603, 718823.3429878221 9301743.735970564, 718879.0161632622 9301730.660576418, 718908.2021789858 9301719.55507217, 719000.7663157121 9301684.327990144, 719024.8798097671 9301675.14418517, 719056.8200856651 9301654.93597799, 719063.6210409022 9301650.629511766, 719098.1519687565 9301627.767842785, 719107.2009412491 9301618.010807911, 719120.8569542946 9301603.258796535, 719127.5320039098 9301580.403500762, 719134.2208052124 9301564.074140493, 719134.1648399356 9301549.363222351, 719120.5712581173 9301528.155693779, 719104.3029841033 9301510.785445543, 719087.1458329557 9301492.489453046, 719073.100046603 9301477.499923287, 719011.3124291194 9301436.698625613, 718984.7852058508 9301422.276416093, 718957.1601063161 9301407.26107922, 718909.7590632079 9301377.908444973, 718878.3224463972 9301355.883846242, 718856.5177040874 9301340.614075026, 718785.5261388111 9301280.33604118, 718765.7853225142 9301263.576238055, 718727.9589874874 9301231.70948014, 718705.6429284997 9301212.913169796, 718686.1507486003 9301191.672714181, 718671.7225470595 9301172.105350478, 718656.4358237791 9301150.859979048, 718645.4000919085 9301132.86144801, 718636.8878077122 9301114.908637453, 718631.7509022217 9301096.943007138, 718630.8352978353 9301077.324320093, 718632.4183014918 9301051.214412685, 718643.3035794508 9301026.69513149, 718658.3620505675 9300990.778248321, 718692.7747283861 9300936.902213544, 718710.3798226493 9300904.238608988, 718722.0985410684 9300874.816111196, 718725.9042624295 9300857.004530877, 718728.7313779227 9300843.775914712, 718731.9764386148 9300809.485604428, 718722.380867285 9300727.82568977, 718704.4343958022 9300670.664413456, 718685.7164156452 9300634.709968291, 718672.925576438 9300600.425321171, 718666.0457457923 9300569.392253362, 718668.4372167387 9300531.820085209, 718670.8124558877 9300521.999968322, 718675.9221592317 9300500.787708769, 718685.9302507838 9300469.734673232, 718699.3000394832 9300432.176053375, 718705.9376434078 9300399.509860132, 718710.1713153024 9300380.756458469, 718715.8961254336 9300355.427161494, 718720.8093635831 9300314.582393292, 718724.8704956754 9300273.751924489, 718725.5984091675 9300241.097138554, 718718.6189637664 9300183.894175207, 718712.4856681 9300125.11733541, 718708.9301378854 9300077.767743362, 718708.7747897931 9300036.942253307, 718704.1790831957 9299937.27817954, 718702.3492118699 9299901.370137416, 718703.8648946446 9299846.004156282, 718708.695696008 9299795.171617378, 718704.3737405355 9299767.447126508, 718696.1058003366 9299746.805624867, 718679.7152263116 9299723.341309978, 718664.4770815481 9299711.895892946, 718630.664293904 9299702.113948364, 718563.1180104306 9299700.468486154, 718519.2054365746 9299700.48068532, 718504.8643940082 9299703.753976753, 718498.1384651657 9299710.261287127, 718486.368967829 9299723.335871631, 718484.742633519 9299738.008901462, 718488.1925485074 9299757.617940208, 718489.9492410724 9299777.222357566, 718481.6483083226 9299814.816973235, 718466.5965073396 9299852.37088574, 718459.0681755387 9299871.966358785, 718434.6320516369 9299883.39674531, 718410.1475636584 9299885.01622741, 718378.9125211741 9299886.672414634, 718340.8831337439 9299876.839942371, 718305.3385452267 9299853.979261935, 718275.6678304424 9299824.614534304, 718265.5184257925 9299809.720800592, 718240.01150574 9299772.321057813, 718211.9829713128 9299726.590933487, 718204.830781328 9299702.46098042, 718200.8621501804 9299689.025937142, 718193.852299581 9299623.704460904, 718195.44610388 9299597.539255597, 718207.1785515465 9299574.709123189, 718235.0071034858 9299564.902936239, 718268.7886568983 9299566.522200048, 718329.6087460034 9299574.675246606, 718369.3124065744 9299579.579170324, 718387.022680066 9299574.711376984, 718416.5209276254 9299561.635759158, 718437.556711421 9299543.67017716, 718452.6689691608 9299519.134777645, 718476.9247341227 9299460.341947364, 718501.2101449543 9299406.44898739, 718519.6494475441 9299372.156172091, 718527.152762559 9299346.023720624, 718528.3959220238 9299329.549200337, 718528.7541636236 9299324.813740352, 718524.4818122069 9299310.107846031, 718514.3073922496 9299300.280182239, 718491.4791904299 9299292.13769796, 718460.2195906099 9299287.257092433, 718435.7153266231 9299280.702685982, 718412.8807145789 9299270.86787294, 718398.2014440384 9299260.836115364, 718384.9281638637 9299248.033766119, 718383.2211999912 9299241.503229208, 718378.937822201 9299226.797379231, 718378.8632219846 9299207.186572907, 718378.7886617661 9299187.586827274, 718378.7203691793 9299169.635141414, 718370.2020061443 9299150.034335611, 718352.3677108409 9299122.261734484, 718304.8366718291 9299055.302496636, 718274.3125325625 9299022.611786926, 718265.2396713181 9299008.510387909, 718256.4784812039 9298994.883424653, 718249.6450340474 9298978.915267913, 718236.8826837447 9298949.121340947, 718231.7210319621 9298924.618829483, 718226.5579963431 9298896.842280824, 718224.7531161143 9298867.471244367, 718224.6517744727 9298840.825785173, 718224.6351572745 9298836.456770463, 718229.5978184697 9298808.64170991, 718236.267629632 9298787.412484031, 718244.680358907 9298779.261738917, 718248.2245309714 9298777.11349147, 718258.1614659218 9298771.091710014, 718262.9817159255 9298769.845605297, 718270.8091046091 9298767.824852977, 718349.4488443257 9298797.224295128, 718370.2057910655 9298807.85230895, 718419.6588431261 9298833.181717781, 718454.3308328078 9298847.871417006, 718472.084241491 9298854.396159574, 718510.9464654181 9298859.314099016, 718538.8009279943 9298859.318624055, 718558.2101410462 9298856.025951125, 718571.678776023 9298844.581838686, 718580.0540656919 9298826.609026255, 718588.3797906341 9298795.628688492, 718586.6567492401 9298764.553902576, 718572.9067281433 9298725.373000652, 718556.7405830811 9298691.046014471, 718537.2380075289 9298669.816875858, 718503.3510761419 9298640.41316638, 718479.6633634958 9298627.36296057, 718449.2375131161 9298617.568214906, 718415.7851105612 9298609.256090501, 718390.0754843373 9298602.861199068, 718349.5003092813 9298589.786763929, 718321.6038260234 9298581.608296072, 718308.0368256995 9298575.91929774, 718302.1511493273 9298573.45298358, 718288.6127167695 9298563.638134403, 718270.8297118067 9298552.213476304, 718253.0577391277 9298540.777711932, 718242.1106451019 9298531.428616323, 718237.8139768364 9298527.761667445, 718226.78003517 9298513.037275242, 718203.9335016264 9298499.98379046, 718194.4401497626 9298497.509073954, 718172.6619296089 9298491.829173148, 718137.180097124 9298485.261212185, 718110.9768613797 9298477.076226275, 718084.7800723073 9298470.583531525, 718056.9086186438 9298468.952950912, 718041.0271820689 9298471.568416964, 718027.3797423887 9298473.810373385, 718001.2387314464 9298481.984244598, 717975.1287430887 9298498.320959622, 717956.6164630416 9298516.276863614, 717942.3503163363 9298539.17192356, 717922.1931750616 9298566.934051836, 717904.5391353496 9298586.512623493, 717885.1673202793 9298599.616002096, 717817.7466153145 9298630.621475015, 717770.4846420625 9298637.183088109, 717747.7399585042 9298636.351379205, 717724.8845736961 9298635.50902078, 717653.0877748984 9298627.342019595, 717590.6054829702 9298624.094892427, 717544.9746827775 9298614.302091034, 717522.134396795 9298602.84111973, 717509.4001887816 9298583.267350005, 717495.7828897809 9298555.522913566, 717499.065098646 9298530.988419808, 717500.6249691558 9298527.940752605, 717509.127565746 9298511.38349907, 717536.9568689311 9298504.840489494, 717547.2897982623 9298504.027028834, 717598.5781970047 9298499.96112393, 717639.9320133333 9298496.696078291, 717669.4606624038 9298491.783565177, 717687.1519627577 9298482.01598074, 717704.8230832262 9298464.019135967, 717706.3507311043 9298458.316958973, 717711.3048426934 9298439.870645717, 717713.1380176998 9298433.028032575, 717719.7817277143 9298401.987965854, 717723.0143388428 9298364.423839951, 717724.5338327445 9298318.692191353, 717731.1974809123 9298295.826066865, 717744.5729157281 9298259.860428449, 717752.8986221314 9298228.813955428, 717765.4966285075 9298212.517591713, 717780.616178614 9298192.893363355, 717850.5069487363 9298142.256284459, 717922.9082907328 9298088.346557418, 717950.7362152666 9298078.584538123, 717958.3467188295 9298077.75920844, 717996.2997686189 9298073.666105036, 718055.3926410275 9298070.38848551, 718100.9985449009 9298073.688090984, 718146.6042969227 9298076.943418633, 718171.0831353405 9298076.960851014, 718193.8658424973 9298070.381338319, 718210.37854467 9298059.202206867, 718210.3895687512 9298059.191103932, 718214.8574288595 9298040.978814535, 718212.2487696677 9298021.421910275, 718180.7659477356 9297957.720052877, 718162.7911912652 9297939.48260523, 718148.5602282615 9297925.035871316, 718119.6599947847 9297905.999378154, 718113.8577426012 9297902.172253294, 718090.5795312654 9297889.03196045, 718079.1677495101 9297882.582616966, 718045.3498761682 9297871.152629, 718005.6225760903 9297859.711927846, 717966.7411225066 9297846.619905397, 717922.7370058461 9297822.154576274, 717884.6593246271 9297799.248400427, 717873.6995409386 9297789.423723051, 717873.7546612147 9297789.368208721, 717915.6829414447 9297742.332464488, 717919.8939131275 9297740.944888782, 717939.2784168402 9297731.270245397, 717979.7065612115 9297705.897464322, 718019.296934748 9297681.39058606, 718031.0860246746 9297673.59198782, 718056.3406355479 9297653.608262211, 718110.2296020115 9297614.844595304, 718166.6456448587 9297574.235108947, 718177.5737436241 9297561.20791331, 718191.0504852209 9297554.88500666, 718217.9999633486 9297535.381400084, 718230.1110152184 9297527.869100863, 718238.2145157319 9297522.84972614, 718244.9499509113 9297518.919537943, 718249.1548761139 9297515.95023557, 718282.8905971552 9297505.855726011, 718340.2375021466 9297488.857616413, 718345.2999512109 9297487.311900193, 718418.6727965153 9297465.042872386, 718482.7211026625 9297435.21041982, 718510.5273417141 9297422.760262195, 718526.2149715252 9297415.831524618, 718529.0763177999 9297414.570713477, 718592.5556915875 9297386.465787096, 718599.0296067385 9297383.609458491, 718603.2334555733 9297377.465622397, 718621.7578721852 9297365.747673808, 718690.2093414556 9297332.745724114, 718699.2890546976 9297328.364071175, 718703.5670982121 9297321.368243162, 718706.0085141144 9297317.365898577, 718706.7925346963 9297302.44162508, 718701.8254775443 9297279.708139786, 718696.4638559985 9297263.767611392, 718687.9700188796 9297239.012378084, 718687.5538982715 9297237.266331147, 718670.8208489999 9297167.502220746, 718669.7459533147 9297161.323233517, 718668.2295093692 9297152.535539456, 718665.6314932635 9297135.82124742, 718666.4177040987 9297121.472139135, 718675.6594273215 9297110.265229203, 718688.2955525276 9297101.191179022, 718732.9807112291 9297086.67430884, 718766.7071116255 9297074.212389443, 718824.8132831993 9297035.951466974, 718831.5518309793 9297029.963820547, 718832.809255722 9297028.88609517, 718845.8542640103 9297016.779718494, 718839.884729497 9297001.040619979, 718838.124837252 9296983.58202891, 718837.2257417077 9296968.39871233, 718837.4913094162 9296965.49971432, 718838.8411942914 9296950.982517755, 718843.0176062463 9296937.682281753, 718848.9000360485 9296930.647107966, 718855.6347347316 9296926.550899986, 718866.5952950628 9296922.084574578, 718875.9372742941 9296919.748150874, 718881.7745855879 9296918.276829613, 718891.0633922584 9296916.504717711, 718902.8818932417 9296916.459503999, 718912.1719062645 9296917.895075565, 718927.377858569 9296921.05564971, 718937.5280409886 9296924.60057891, 718957.8147631696 9296931.015763747, 718977.2588234834 9296937.00278826, 718990.7595811822 9296937.00642484, 719012.7024614133 9296933.758991394, 719022.8034428199 9296927.338123571, 719024.4432386269 9296913.406031335, 719022.7059347199 9296901.864984028, 719024.3293839694 9296883.663402945, 719029.3511677837 9296871.510247156, 719037.7620134125 9296862.983189099, 719051.2395512084 9296856.925458683, 719073.1854102272 9296854.463312026, 719095.9818172845 9296854.486628165, 719126.6859364936 9296853.307180995, 719155.9249738913 9296853.880970424, 719170.2753933138 9296853.250825645, 719185.4577202415 9296850.239370124, 719201.4686948202 9296841.107988922, 719219.1548335347 9296830.178296715, 719225.7762173458 9296825.396683676, 719235.9883779316 9296816.232203964, 719242.6899416542 9296803.49740252, 719244.3080537948 9296783.924244802, 719243.4305908554 9296759.98048436, 719191.5024210108 9296663.185360221, 719187.2137973725 9296647.174371205, 719183.8115888465 9296640.119414894, 719178.7057749224 9296630.327853272, 719128.6248251387 9296559.264654597, 719120.2525989328 9296534.531109083, 719108.1369220663 9296500.321552917, 719086.1160233188 9296483.161797084, 719049.7113085374 9296457.883049194, 718962.522137269 9296397.348246913, 718941.369118877 9296384.288771939, 718927.7863592794 9296365.725104913, 718926.0524569392 9296352.182007963, 718930.1578885659 9296323.263868704, 718942.7323965235 9296298.162524272, 718947.1134779721 9296283.434600666, 718948.5555357712 9296278.562232684, 718952.7295806459 9296264.675737444, 718954.3974115604 9296258.076986425, 718977.8505088029 9296210.048719192, 718995.5081266589 9296191.73039738, 719003.9038833488 9296179.298831953, 719003.0125707384 9296166.17282255, 718992.7406564519 9296130.82799535, 718991.0248669499 9296122.018941296, 718988.4680380712 9296107.428199528, 718988.5012356548 9296107.428072324, 719032.3464268681 9296110.733212698, 719086.366888121 9296106.831775246, 719264.6568718306 9296145.658037981, 719303.5287427321 9296156.370834002, 719371.1225334115 9296168.51086273, 719381.1392072041 9296169.003347026, 719427.6918430706 9296171.291260075, 719469.0863822686 9296173.233928058, 719495.2486415199 9296173.775006099, 719521.409184101 9296170.98670401, 719544.1784392718 9296163.997156346, 719584.6241514597 9296143.633246716, 719626.1221895111 9296175.384935956, 719643.8990446889 9296188.136387127, 719672.6344272059 9296195.934612334, 719702.1753747212 9296194.504807582, 719740.843010277 9296186.580242507, 719749.4124658504 9296184.821771834, 719762.4088267686 9296174.551384429, 719774.6659358375 9296164.84794924, 719793.2512724666 9296166.247604366, 719802.0206287665 9296167.552270183, 719805.0766096642 9296168.005082686, 719820.2907949886 9296173.32224951, 719838.8842656999 9296176.834523283, 719856.6120920365 9296176.821641173, 719877.7205170147 9296178.222626697, 719895.4414113755 9296176.40680512, 719911.4748377884 9296173.181653257, 719931.7010595528 9296163.878896154, 719951.9164648114 9296151.766658993, 719966.2198487695 9296138.94713457, 719975.4727005675 9296130.737389266, 719988.1062729808 9296121.098811375, 719994.8359648902 9296115.74146934, 720005.7916458722 9296110.058148265, 720023.5001353847 9296105.023553388, 720043.7470209857 9296101.096347682, 720064.8430510528 9296099.27853045, 720105.3668957386 9296099.233086847, 720105.7211331844 9296099.264905825, 720116.3485553307 9296100.296900596, 720141.6743748732 9296099.137489285, 720151.7959383756 9296095.249243386, 720160.1994444598 9296084.885817606, 720164.3218594737 9296060.546608819, 720166.6580387079 9296032.143800573, 720166.7427733362 9296031.159037445, 720174.2129876387 9295996.851948578, 720185.9622920207 9295978.876653839, 720209.5330018192 9295961.641134657, 720222.1788000457 9295958.063910425, 720250.8812903297 9295957.311737522, 720282.1185590529 9295962.46746309, 720302.1941057465 9295965.774760744, 720338.7464439776 9295971.794853937, 720375.05960478 9295973.181248106, 720401.4631013994 9295973.134717304, 720412.2081100624 9295973.093271121, 720426.5508386008 9295970.504952068, 720434.1369828203 9295969.15941596, 720460.2655540663 9295958.085996982, 720482.1326325057 9295935.271051416, 720493.0483442463 9295919.245630182, 720513.1811983611 9295885.785509368, 720523.0056503816 9295865.14074491, 720526.5841461362 9295857.616439339, 720535.1382913191 9295846.168354956, 720542.5364055868 9295836.251164075, 720555.0996742814 9295811.304103466, 720563.4440052436 9295785.643292608, 720565.8790980647 9295759.994233923, 720568.3665905432 9295747.916956136, 720569.1390084651 9295727.284999812, 720569.067508882 9295708.76897439, 720564.7371073937 9295682.050988954, 720557.9469888096 9295671.73507015, 720548.5691817583 9295650.412276994, 720539.2311474623 9295636.522397045, 720531.5754306321 9295619.838621164, 720528.7190373272 9295613.754979134, 720522.381524388 9295600.28489651, 720521.3549664642 9295598.087699573, 720508.596674302 9295572.508372827, 720489.9399452632 9295552.592986114, 720478.8827699411 9295531.951406585, 720466.9392447451 9295499.566354098, 720461.7639889356 9295471.84508022, 720458.3387028426 9295424.46146435, 720457.3100304602 9295410.25191448, 720459.8194584794 9295403.8599664, 720463.1877552567 9295390.628937528, 720464.8120444951 9295384.27358997, 720484.0212595636 9295332.355995463, 720516.8279831703 9295299.842350418, 720517.9908724762 9295291.497780882, 720520.4457636902 9295273.856887018, 720520.7580402568 9295271.621336263, 720523.3957475418 9295252.608157573, 720529.9614802289 9295204.854095308, 720544.9810104833 9295156.956750523, 720555.0472896863 9295141.675637368, 720571.0445628536 9295129.17006083, 720574.4161590615 9295128.261079937, 720582.0073113125 9295125.377973035, 720588.5961598745 9295115.120974775, 720618.9334709741 9295067.90546893, 720623.0561307715 9295043.732048953, 720623.8402517361 9295029.017730253, 720623.8296461029 9295026.27461395, 720624.0751245808 9295021.07493929, 720624.617047559 9295009.54715879, 720624.5701757214 9294997.424354313, 720624.5261257262 9294986.0315727, 720624.4683892219 9294971.099286055, 720623.5571784249 9294955.80528253, 720621.8352403102 9294945.480856083, 720618.4106221418 9294932.674261902, 720615.0079995735 9294928.417827155, 720608.2075233529 9294915.414125303, 720613.2087343262 9294898.095198696, 720625.9907536787 9294849.68655965, 720634.0067136539 9294819.314907933, 720665.6747360833 9294709.96384176, 720678.8582173872 9294685.268654652, 720743.6219985925 9294563.987184932, 720744.3982501287 9294547.259755323, 720744.3513218235 9294535.136941183, 720744.3072187608 9294523.744150475, 720747.0205437855 9294515.736451263, 720747.6440497228 9294513.864706896, 720747.8771136585 9294514.040782683, 720755.2690235097 9294519.74183049, 720790.7366767528 9294523.033461027, 720827.0504859975 9294524.795357706, 720860.8406345153 9294529.243801303, 720867.5880785892 9294528.542937592, 720881.9345093233 9294527.00517549, 720919.8588022615 9294510.299736578, 720977.999949528 9294482.067637885, 720981.5930329846 9294481.213065978, 721058.9825527089 9294462.817048859, 721069.1047648294 9294462.03670704, 721075.0236523336 9294464.546760926, 721083.5968344716 9294498.061983176, 721094.5766436703 9294498.705201833, 721126.6198378692 9294489.245335512, 721171.3743284397 9294490.332728917, 721191.6439548177 9294492.411027974, 721205.9912513809 9294491.094398621, 721224.5265072823 9294482.527520468, 721240.5537624508 9294477.83071019, 721261.6334827252 9294471.941805722, 721313.0741250091 9294453.679287285, 721353.530405458 9294439.308643535, 721450.6725621731 9294452.282258194, 721509.9399365954 9294494.659681419, 721582.7549851718 9294549.184908975, 721637.7493873428 9294579.721276207, 721640.0777034013 9294580.873651272, 721705.4264236791 9294613.371805357, 721756.9942316359 9294630.62586828, 721786.5729715602 9294639.050088514, 721818.6269295156 9294632.332957286, 721845.9561245391 9294605.801462451, 721846.3860534419 9294605.379464613, 721873.22311436 9294560.444031497, 721878.9686723251 9294518.389127506, 721877.8430598881 9294496.437030867, 721875.3159257589 9294447.036496423, 721840.7429546195 9294358.062033808, 721838.6415568462 9294352.661286376, 721821.4437805385 9294272.667279268, 721829.6670523098 9294216.145753732, 721871.2832488584 9294141.619337307, 721884.1515131283 9294118.550883723, 721884.2274654022 9294118.16344604, 721884.6449886105 9294117.398597706, 721886.5093081638 9294110.223681921, 721905.8507352292 9294050.130298154, 721940.9130708314 9293949.358922591, 721926.2141596482 9293860.38455756, 721908.3467320653 9293824.427824209, 721904.7617112622 9293770.529491862, 721895.3412649664 9293735.54642663, 721889.3718350821 9293720.061877565, 721874.9791124227 9293709.67617244, 721858.045013026 9293697.40889962, 721835.0812784178 9293654.193754962, 721827.4360719854 9293643.140213374, 721801.205254189 9293627.635029837, 721775.8295584319 9293612.91185339, 721766.4931931442 9293602.340526177, 721767.3814427024 9293597.425896944, 721770.6311075024 9293579.43880096, 721772.2000776273 9293550.41917731, 721769.6120506907 9293536.558518622, 721753.4279765686 9293498.073287345, 721750.0817790958 9293488.429897232, 721750.0145675004 9293488.219996316, 721782.1035927127 9293490.683334814, 721807.4617448503 9293498.072987132, 721834.4821303904 9293500.390125325, 721844.5520012149 9293483.371951615, 721847.0360565888 9293470.542342812, 721829.8718399308 9293399.19811933, 721823.848616407 9293372.741078932, 721831.3085958983 9293336.265359731, 721843.9154810268 9293320.022634836, 721926.5539260977 9293297.3347653, 722000.7298052137 9293266.826301776, 722070.6460479756 9293225.151448036, 722149.0191887582 9293189.870035218, 722228.2661997094 9293160.19311192, 722304.0996400384 9293123.494444655, 722358.0198978123 9293094.491402024, 722403.4962884004 9293065.300068349, 722448.1135924987 9293034.320121115, 722378.6546261571 9292943.734638112, 722371.4251190302 9292934.305539882, 722351.3827261985 9292908.168750873, 722269.1327597455 9292817.721714117, 722236.8690613413 9292770.483600603, 722173.0377146142 9292638.872122522, 722156.8622071792 9292602.643443212, 722153.2431586675 9292543.004410448, 722158.9676114836 9292495.772746932, 722174.0148096358 9292455.639137978, 722189.0607764216 9292435.017523311, 722186.8038190606 9292395.482464936, 722177.2784952718 9292359.205692213, 722163.0802307575 9292305.094369425, 722157.424322783 9292222.621868625, 722173.2461614857 9292174.045490548, 722223.4912579159 9292088.345751125, 722232.4168686005 9292073.12377802, 722240.8522032198 9292062.693231879, 722284.5048142028 9291997.493499866, 722308.2623526142 9291943.775686767, 722357.3967397899 9291859.96045002, 722351.6384858777 9291858.87686541, 722352.3007549916 9291858.453946143, 722355.9105773414 9291859.092429487, 722396.1305700007 9291830.120453402, 722416.4535996306 9291846.02437629, 722435.094790015 9291864.777620226, 722457.9422571849 9291878.23817728, 722577.1703253338 9291925.776990822, 722625.3064660109 9291931.804808391, 722646.4483483403 9291939.210427802, 722699.7006357746 9291957.518257838, 722729.2617663792 9291958.87352534, 722760.4885197659 9291956.063212823, 722798.4683954761 9291954.067056214, 722834.8463046118 9291975.283694068, 722861.8909593296 9291981.095396115, 722896.2619781191 9291989.986562824, 722898.233597206 9291990.487646503, 722926.1153763927 9291998.132209474, 722982.7431050804 9292013.683380783, 723030.9106801087 9292024.843202367, 723039.3615463017 9292026.856366985, 723052.848202917 9292023.48504169, 723086.6427339534 9292029.259092465, 723091.7131246004 9292029.869678168, 723107.7753480694 9292037.084936038, 723142.4684650567 9292057.522694057, 723182.2002959409 9292070.496402439, 723214.3665471928 9292092.735984497, 723244.7731990038 9292095.2048797, 723289.5805028251 9292110.061132148, 723316.6295674681 9292119.766211858, 723323.388123855 9292121.951911619, 723341.9490230515 9292117.343835974, 723412.7858041509 9292096.44712562, 723433.8507209166 9292087.02856472, 723443.9161898469 9292071.901368536, 723459.9117473884 9292059.328132661, 723486.8449071615 9292039.555206945, 723517.8842177147 9291989.059916701, 723514.2652995673 9291927.053395374, 723491.3144762807 9291887.422529843, 723464.0313996843 9291818.219713243, 723449.4438220434 9291758.313762048, 723440.8665488997 9291724.168072257, 723453.4260057403 9291698.898883164, 723537.9595078996 9291728.166295297, 723770.768964371 9291675.604200926, 723773.1681225449 9291672.27635, 723769.2527970502 9291672.74529152, 723765.8442696214 9291549.093099866, 723768.1160675965 9291521.87328471, 723776.0563318658 9291515.06139836, 723782.865809823 9291510.521539172, 723780.5928094785 9291450.401123142, 723786.7281949281 9291440.477051215, 723795.3468241682 9291434.525267255, 723801.0625541882 9291424.813011885, 723805.5565080816 9291343.77106014, 723751.1048852194 9291318.810139611, 723743.1594981876 9291307.470415737, 723752.2374277528 9291249.61707969, 723764.7088838363 9291160.004345423, 723774.4449772569 9291078.266984772, 723779.4618039561 9291068.115023071, 723796.4716072108 9291071.521195967, 723816.8979726785 9291065.84359686, 723840.7174457422 9291070.384336565, 723873.6199193681 9291088.527858146, 723895.1694055417 9291106.682978215, 723916.7209804317 9291122.559450708, 723938.2847036413 9291124.68662719, 723960.9669301563 9291121.433570564, 723997.2639424247 9291130.504406024, 724032.425213201 9291129.370084925, 724036.0222764029 9291129.577111054, 724051.7166606077 9291130.510670016, 724094.8162779666 9291130.506408934, 724133.3856930376 9291129.36962747, 724181.0292883058 9291139.57910555, 724183.2997168261 9291000.053279877, 724207.1255125992 9290997.780046677, 724232.0824012732 9290998.920292065, 724280.6018470377 9291001.173078578, 724280.8563901233 9291001.18313375, 724318.2911063669 9291012.527899923, 724426.2746850285 9291028.460645381, 724456.6890491671 9291032.952929609, 724473.7099693496 9291036.347804198, 724488.4577415655 9291032.94892342, 724505.4687730775 9291017.06385319, 724575.2359937736 9290894.061757987, 724591.6860182656 9290865.060064202, 724609.8328870154 9290859.391155683, 724625.7140684107 9290862.790484082, 724648.4069417573 9290901.360156143, 724667.6896289511 9290942.199855661, 724677.0254059166 9290974.871400047, 724679.0339371915 9290981.89848702, 724686.2870553398 9290986.028844733, 724686.5649997559 9290986.35958559, 724704.3904734146 9291011.287724635, 724731.4953028114 9291035.072972275, 724758.5659172446 9291047.420872575, 724771.2326884926 9291049.428115567, 724791.506883975 9291052.821076743, 724835.425671275 9291058.454301408, 724868.4082836155 9291071.564093757, 724904.8764058104 9291115.355438516, 724942.2819237184 9291180.668547403, 724963.6823301524 9291253.212885788, 724994.2413125376 9291296.917036451, 724998.9763917892 9291302.263047984, 725040.0360724557 9291348.635612903, 725071.4089425446 9291382.690981813, 725091.0146960937 9291429.557867156, 725101.3356344834 9291478.99463036, 725129.302705804 9291505.254146568, 725194.4006912427 9291527.461727243, 725261.1367575522 9291538.590270689, 725373.4608946131 9291549.217038332, 725376.2489272726 9291549.095358064, 725451.1157438033 9291545.645644443, 725489.837689251 9291518.690033762, 725507.4200377824 9291479.484850468, 725583.3122687755 9291458.409984877, 725627.132241001 9291439.03319461, 725687.0037375026 9291399.029324409, 725763.5766692099 9291357.155927386, 725767.7927877372 9291357.194466833, 725808.3451038006 9291362.044010002, 725829.5048636278 9291376.572019305, 725894.3097642575 9291466.852225943, 725906.5006772967 9291474.358697437, 725912.0814922818 9291483.650241068, 725928.3369646348 9291500.37685708, 725950.7899028779 9291517.288977187, 725977.0206185835 9291532.526838413, 725995.6798843126 9291555.449360928, 726007.5873715668 9291577.923111951, 726037.3360598198 9291626.287113437, 726059.3509257076 9291641.541739702, 726083.80897449 9291636.754312648, 726109.9314494914 9291624.78135153, 726124.305151121 9291630.21060962, 726130.2560637038 9291640.728497554, 726145.6187507107 9291680.543936482, 726158.320689626 9291691.311479017, 726208.2962080891 9291733.787630675, 726221.0255821673 9291748.658865834, 726271.8175899078 9291784.959433813, 726316.6777050577 9291812.733083557, 726330.2764847537 9291834.72444107, 726340.492408444 9291857.525704093, 726340.5705279107 9291857.691315116, 726348.9677540509 9291876.727858517, 726352.4181494946 9291884.534581259, 726355.8650067475 9291902.56213134, 726352.6734515859 9291948.612751445, 726359.5569858577 9291979.336257957, 726377.4012038527 9292008.69978093, 726390.1646034429 9292034.864654249, 726418.3293614946 9292110.490449967, 726443.0802090982 9292179.12793248, 726444.0400549814 9292206.180513706, 726441.8391872454 9292242.592646444, 726436.1212721327 9292337.81060488, 726437.8824432427 9292346.575350672, 726438.7065333135 9292350.664819174, 726447.1691389713 9292355.54241115, 726464.8991631252 9292356.21290248, 726483.4894763089 9292361.724894598, 726502.1175677455 9292373.939996239, 726505.5117011683 9292378.727161212, 726515.7056514786 9292395.986721385, 726534.4440804194 9292435.888300907, 726544.627335625 9292450.459960844, 726545.5291918616 9292462.955857469, 726548.17207962 9292490.267221361, 726562.6532396983 9292522.597582579, 726572.8261985092 9292534.580895059, 726588.0872322619 9292551.565852439, 726611.8141906811 9292574.246928453, 726624.5045387713 9292579.2625224, 726648.976846474 9292575.160725301, 726673.472127251 9292579.598305484, 726691.2371247562 9292589.018260248, 726705.6557245514 9292605.630468927, 726729.3943592828 9292631.22064763, 726741.2508914834 9292638.031511322, 726764.0936991711 9292649.864739591, 726823.3042620294 9292679.693808943, 726868.1861748461 9292712.688277982, 726908.646908636 9292749.737819482, 726914.6797177335 9292755.764402825, 726920.4301931588 9292760.365176445, 726932.4862076639 9292750.59400368, 726942.6063958969 9292743.772914985, 726973.767708208 9292727.08947825, 727002.4003336115 9292708.989174346, 727082.4726472234 9292675.650874835, 727249.2673572705 9292581.204931457, 727313.204568207 9292525.508932248, 727343.6187778879 9292490.842131404, 727382.1184295949 9292446.96188152, 727411.592431253 9292429.012779076, 727438.5761926132 9292419.25916605, 727538.987084527 9292405.295916628, 727553.3217199972 9292400.8581657, 727598.0524151439 9292398.732274735, 727653.7746142026 9292400.14628182, 727698.4633213704 9292384.768719636, 727772.7109190095 9292372.657532327, 727805.9093098778 9292356.297178723, 727912.5834755353 9292303.692121675, 727986.7237293064 9292264.834118407, 728032.1394746269 9292221.080334708, 728082.6155729195 9292178.157926288, 728086.8272045492 9292174.291589472, 728096.8902588722 9292158.79815525, 728084.9754093798 9292134.742761247, 728063.7070209334 9292093.413513577, 728044.1346592276 9292055.572923895, 728028.7927579605 9292018.556039091, 728011.7372788767 9291976.424516626, 727995.605587749 9291954.919153199, 727981.2187880089 9291946.32672226, 727949.9695869008 9291943.70883401, 727902.7483290226 9291956.608033163, 727845.4910427842 9291994.502356727, 727805.9298855332 9292024.615735054, 727772.2363138009 9292044.374041887, 727744.3871480629 9292045.226792919, 727722.3983180756 9292036.664770376, 727711.3658283001 9292022.882019922, 727701.1681066602 9292004.781911323, 727700.2645020641 9291991.920926217, 727701.875773177 9291982.55638044, 727706.0501400412 92</t>
  </si>
  <si>
    <t>Bekasi Regency</t>
  </si>
  <si>
    <t>POLYGON ((725401.7318461227 9344940.94737462, 726887.026837898 9344651.227493625, 727982.6775174697 9344250.43186546, 728046.787567525 9344215.903427826, 728117.5592559914 9344185.774694076, 728204.9193449754 9344148.947339285, 728279.0341275588 9344124.336632982, 728375.2379659213 9344083.051510308, 728423.8709774166 9344056.323123652, 728459.2505280096 9344039.599299375, 728588.7422362156 9344014.781930203, 728625.2581388804 9344005.796747647, 728657.3315052696 9343993.509668134, 728705.993249416 9343974.523881184, 728939.3627140732 9343887.374310011, 729061.0271043448 9343842.674365016, 729162.7928395369 9343808.003770323, 729324.3409445921 9343766.47260626, 729652.9946511833 9343623.666987626, 729791.1860103637 9343579.72187823, 729917.5561518574 9343543.707568513, 730063.6255420388 9343491.8342506, 730241.478229234 9343483.279754417, 730419.238192722 9343447.071230564, 730510.1860977492 9343454.62728386, 730672.1193281813 9343418.488511868, 730734.3772268577 9343463.153084278, 730787.0733145121 9343500.962264698, 730898.8370802611 9343459.702162215, 730996.6176854873 9343508.071122019, 731248.0699387218 9343443.994767046, 731406.4034418254 9343431.229575116, 731456.213908953 9343423.298417144, 731530.0257207352 9343438.937353548, 731683.1612530354 9343395.893280536, 731688.5056216625 9343397.454893708, 731762.7611191603 9343307.774163483, 731826.0879175998 9343327.279689861, 731889.3102039414 9343319.142542055, 731964.4281148962 9343322.80731969, 732185.1810933023 9343160.095313162, 732277.7014897156 9342977.481756287, 732253.782536502 9342908.52557638, 732245.1873656401 9342870.417572035, 732232.2348902113 9342796.043859022, 732220.9728819851 9342723.511038799, 732217.4228611743 9342678.160650996, 732219.7830246536 9342634.635146584, 732221.3123098786 9342591.057483282, 732221.2023048184 9342562.0542378, 732217.6728513938 9342522.135045938, 732215.8612977775 9342491.290958235, 732204.6954526776 9342444.122166002, 732192.674290389 9342393.372645412, 732157.7616962114 9342322.610940445, 732133.8911380675 9342266.375553153, 732132.9590049419 9342262.983161839, 732121.8974209435 9342222.849202985, 732109.0301418186 9342173.850652546, 732101.2742092467 9342132.155528601, 732097.7585663669 9342095.875590997, 732092.527629155 9342054.126644889, 732079.6577990053 9342001.53308, 732059.9657636397 9341934.408272984, 732039.4732402536 9341878.149048122, 732012.1657610865 9341809.261161046, 731987.4122087283 9341742.1002709, 731977.6903515907 9341710.60040695, 731972.8685867089 9341694.955412628, 731963.3862996515 9341647.780293766, 731958.159662812 9341604.239373343, 731957.9739408261 9341555.292306874, 731963.6746852464 9341499.033278326, 731963.4474939739 9341439.168523302, 731958.154664269 9341381.114980401, 731956.2854572423 9341332.174300473, 731954.4944740061 9341306.761440717, 731943.4871126962 9341301.316647148, 731925.7719506951 9341308.551830528, 731907.1765882187 9341308.567096137, 731889.4270449975 9341306.74291418, 731870.8289530221 9341303.118900182, 731836.1166985116 9341284.99890657, 731810.6482784848 9341254.134013787, 731800.4319175615 9341232.392413892, 731792.6718635128 9341192.50041622, 731779.7565307508 9341130.7812534, 731767.6391294899 9341054.601513963, 731764.1029154856 9341012.890452072, 731765.6873468864 9340983.880837996, 731785.8903180088 9340963.91535253, 731807.8111546235 9340953.024938475, 731834.8706555981 9340956.661061065, 731877.9988116404 9340965.73380352, 731916.0337311439 9340969.328223681, 731941.3711769818 9340965.703342512, 731964.9522104199 9340945.780254444, 731992.7156257543 9340913.13143069, 732012.7874799973 9340858.676110437, 732043.7937579807 9340793.416230215, 732086.7192034024 9340746.252114777, 732114.4781823094 9340715.39518351, 732141.3996902998 9340682.74942522, 732146.1717223597 9340673.649657302, 732155.660700442 9340655.527759856, 732156.4057324791 9340630.105232885, 732147.0241395454 9340606.56851589, 732137.6491136381 9340584.757393586, 732118.1571007791 9340570.274378652, 732083.4380794319 9340550.318433251, 732058.0179943816 9340532.163356049, 732035.976011181 9340514.050739005, 732019.8727887651 9340499.4995168, 732007.0884340175 9340472.325394727, 731991.6869837986 9340420.958332919, 731979.7013001363 9340379.544835767, 731966.9060121123 9340346.574457133, 731953.3227192312 9340330.64201358, 731932.1509945656 9340320.01482085, 731914.412740097 9340321.088855183, 731900.0886295988 9340331.696107179, 731880.7437396288 9340352.974796686, 731860.547009398 9340377.420341423, 731847.9173047816 9340388.010073157, 731833.5569011358 9340389.071242422, 731813.2704080774 9340386.980230654, 731797.1376583227 9340364.630637534, 731764.894871729 9340331.7341295, 731735.2151527215 9340302.987055905, 731697.9110191388 9340270.065512922, 731672.44712919 9340240.306872077, 731652.047553008 9340208.416227585, 731629.4645581209 9340167.341661682, 731622.2714276807 9340154.249884926, 731595.8892304231 9340104.296199795, 731575.4010210226 9340049.043743992, 731560.887296505 9340009.697346605, 731540.431379598 9339962.940103285, 731517.4675637187 9339923.625794973, 731497.9743271577 9339908.722368889, 731484.3952394824 9339893.840734364, 731460.7109319319 9339886.441928806, 731434.4943140764 9339880.059334936, 731395.6240795034 9339877.939228723, 731362.6447000171 9339872.62206378, 731349.1099400043 9339869.410244673, 731338.9602633638 9339865.178973155, 731325.4094766893 9339857.74167588, 731316.9109496463 9339845.008821918, 731306.6895662909 9339824.793795433, 731305.7469926113 9339798.20526526, 731325.0142021145 9339753.564937515, 731334.1528428777 9339713.17750513, 731337.8741086497 9339698.60630334, 731344.1162875764 9339674.180699134, 731345.8076085114 9339667.51518996, 731353.2143815546 9339614.369217377, 731357.2806997382 9339574.00102029, 731363.9789036768 9339555.934101993, 731371.5277423016 9339543.140341584, 731392.5741308026 9339520.85977331, 731431.3109321818 9339487.903919166, 731468.3563033432 9339452.84168104, 731475.9163890316 9339440.103160404, 731475.9160528645 9339440.014668714, 731476.5499554436 9339420.300452648, 731476.6691112873 9339416.68285001, 731470.5976860117 9339375.246961897, 731452.6982183144 9339333.800704353, 731431.3927323057 9339284.933981553, 731403.3566646029 9339245.583698474, 731381.2470083395 9339209.496202396, 731353.2796935191 9339188.231396176, 731320.5061184051 9339169.938288001, 731315.1788735592 9339166.960823296, 731260.145666661 9339137.214969562, 731216.1028187436 9339108.533521224, 731201.6902748754 9339095.767837562, 731195.7359527603 9339085.138117353, 731191.4760168837 9339074.490903262, 731189.7009217141 9339053.248301368, 731191.157764822 9339037.33618426, 731192.13627745 9339026.702267904, 731202.2051382177 9339009.684476536, 731221.6091418283 9339001.170793857, 731251.1506678055 9338993.724764826, 731295.9132049535 9338987.382372478, 731340.6724862366 9338983.097416505, 731361.7711118936 9338974.632548992, 731363.397931342 9338959.748495169, 731357.4395873495 9338948.067946838, 731347.2655789806 9338937.398962216, 731324.3950278037 9338922.552680854, 731281.2059441104 9338897.031697994, 731238.8385360867 9338866.231189338, 731193.9257415396 9338830.064392816, 731184.582591564 9338819.447550232, 731172.7064048722 9338806.727560392, 731159.947890027 9338783.303288942, 731148.909353661 9338769.518203761, 731140.4350107738 9338763.123592833, 731119.2710165405 9338751.434411779, 731064.251425287 9338728.071032763, 731023.666421983 9338717.462157605, 730952.6236274743 9338700.431440827, 730898.4327220763 9338670.682270497, 730884.0203421172 9338657.916569132, 730875.5180204096 9338644.13290363, 730874.6116867604 9338627.090439115, 730878.7909004083 9338616.477585394, 730898.2149971955 9338613.295584816, 730931.1815588537 9338615.438121183, 730997.9733069246 9338627.09796639, 731045.3210010809 9338636.674557222, 731058.8513131693 9338638.791261695, 731079.1130656095 9338634.544108987, 731116.2386108298 9338620.742054855, 731140.7445516237 9338605.505650237, 731177.7685826997 9338582.478554565, 731205.5660271819 9338559.11038902, 731226.5561894908 9338525.0604345, 731229.8562337653 9338501.685777137, 731224.7396015151 9338490.002040012, 731212.8634433997 9338477.28207609, 731194.2365299808 9338468.746927949, 731141.7481998681 9338441.148545165, 731111.2532581585 9338422.017206574, 731099.3649123379 9338406.07835383, 731096.5598012708 9338396.48754038, 731092.5204806759 9338382.686945796, 731089.887427933 9338357.166775111, 731091.505103207 9338336.962147959, 731094.8062731631 9338316.795370903, 731118.3609168616 9338290.235466091, 731151.235489521 9338271.11777106, 731199.3547526826 9338259.386566566, 731255.9485271003 9338254.105200827, 731302.3856212968 9338245.599228675, 731324.3093393213 9338232.850300746, 731338.6206772015 9338219.035217045, 731346.1612177327 9338204.128659965, 731348.3934596339 9338194.120466795, 731349.4823566247 9338189.238151425, 731347.7506798863 9338176.534940565, 731342.6257792447 9338162.683168193, 731326.4897143015 9338139.327107688, 731296.8324236157 9338119.130791277, 731241.816022502 9338093.599656677, 731217.2664677938 9338079.821751008, 731193.5433083335 9338064.934536425, 731176.5654551962 9338041.526357394, 731155.3300196477 9338013.908831457, 731128.1999764597 9337988.437541585, 731107.0291644802 9337977.810388507, 731084.218405619 9337975.684773706, 731082.6344611268 9337975.613362897, 731059.7061338525 9337974.60540793, 731010.7413063586 9337985.244687885, 730949.976964044 9338003.30682714, 730915.4159375271 9338012.81832711, 730895.9559778359 9338018.168609157, 730842.7606402173 9338028.812735198, 730821.6574557932 9338033.063069664, 730804.745385553 9338029.85304125, 730790.3613942524 9338024.531712178, 730783.5655369397 9338013.905204205, 730780.9285485959 9337987.323171133, 730784.1611017806 9337949.071011782, 730790.7946432917 9337914.024859263, 730804.1887164194 9337883.222805785, 730829.4213456024 9337852.37578937, 730845.4352151759 9337840.711371653, 730878.3415865281 9337830.033636892, 730924.1415812848 9337820.092269495, 730927.3063071752 9337819.405488987, 730989.8013646097 9337810.94925839, 731023.5766808635 9337804.53790499, 731044.6395090789 9337789.690608682, 731047.1027687854 9337770.533616181, 731035.1822591989 9337746.110673888, 731016.5386064694 9337730.197534695, 730969.0754474717 9337692.978681436, 730918.234656997 9337655.772646293, 730882.6186070751 9337620.732122792, 730862.239972769 9337594.117938042, 730850.3517939117 9337578.179111268, 730842.6589227809 9337555.897117153, 730841.7162786563 9337529.319704233, 730841.6152417269 9337502.728031954, 730843.1977572534 9337476.196331803, 730844.7750746673 9337445.383816108, 730835.4107559711 9337426.227546038, 730807.4765960122 9337413.45800338, 730780.4074477379 9337403.915148107, 730755.0135448882 9337392.242095955, 730735.533397557 9337380.557634417, 730731.2815921442 9337372.023183156, 730731.7237255641 9337371.800272053, 730759.1036525358 9337358.212191263, 730800.7778133859 9337338.021320377, 730857.7841070981 9337310.416179055, 730893.1951062741 9337291.554296192, 730893.4714180931 9337291.409445047, 730969.0889428912 9337250.857709944, 731032.2522084853 9337199.877892075, 731053.9013914756 9337176.212187165, 731076.0137423915 9337152.035872068, 731120.5210186406 9337081.923942214, 731148.1273921449 9337008.602058718, 731155.5025469948 9336973.5861061, 731162.2358872948 9336941.614536116, 731168.6867021129 9336858.727444075, 731159.9818831829 9336791.771485, 731135.2612667794 9336715.51841428, 731135.1828622286 9336715.286419133, 731107.2062686369 9336650.627263635, 731100.2344328996 9336634.503871825, 731051.0319176078 9336582.425179875, 730983.1627314971 9336511.203554984, 730914.5332516354 9336461.311560363, 730856.0598421125 9336414.533425774, 730806.834395691 9336356.326634783, 730767.7969464986 9336309.640426232, 730752.3767504012 9336256.00616216, 730742.8814369524 9336202.404663617, 730742.8426254352 9336192.206028802, 730742.7011393752 9336155.02857563, 730752.6531398053 9336104.571985368, 730759.854979524 9336096.77933832, 730796.4046330678 9336057.24988152, 730853.7619151585 9336032.032278547, 730960.9402075198 9336000.452420872, 731084.1642268823 9335965.74709666, 731094.6824631833 9335962.233649302, 731178.6736301489 9335934.21507243, 731269.8413822015 9335912.131180748, 731336.0442013142 9335883.328466646, 731342.3792797583 9335880.583124408, 731418.2576072013 9335836.40087782, 731432.6455110392 9335828.337310478, 731468.8362325628 9335808.0447876, 731522.7551036881 9335767.010300692, 731573.2602468656 9335716.55320701, 731623.6816192243 9335647.103517234, 731646.4686521295 9335593.986859776, 731658.8610479942 9335565.112817911, 731689.8219484241 9335486.246523246, 731696.3236485681 9335419.962367672, 731698.584109022 9335359.523922745, 731699.3874580677 9335337.93956839, 731692.9065560196 9335189.694000507, 731690.1049159733 9335120.281801404, 731680.47551246 9335031.925006459, 731677.6617193341 9334959.349224875, 731677.4444805434 9334902.603787048, 731689.7314610697 9334843.376907421, 731689.8947324546 9334842.635151565, 731706.6686118118 9334809.939044643, 731712.527304063 9334798.50098195, 731737.7792034466 9334773.250066375, 731781.6135191579 9334748.02749965, 731841.5413749388 9334732.234122582, 731923.4886697682 9334729.07718298, 732015.568821572 9334725.925516887, 732070.7226234905 9334735.824345512, 732071.365379199 9334735.943558393, 732103.491205674 9334741.671945386, 732232.7827364586 9334744.870392084, 732337.5803168948 9334754.335061371, 732412.761442692 9334751.148136858, 732482.7981113504 9334729.087495502, 732526.5947024247 9334691.209822256, 732564.4546780065 9334650.2355196, 732589.6334453274 9334606.046733513, 732624.4242247163 9334553.148572275, 732624.9086705612 9334552.41663595, 732629.1148913663 9334523.12010204, 732633.9570626318 9334489.296878753, 732621.1669583296 9334457.753823232, 732589.7713621452 9334423.063376509, 732529.6496419546 9334388.372782664, 732476.3304798501 9334363.102694232, 732410.2954943811 9334328.445822999, 732352.7340378212 9334300.017261887, 732293.4905446913 9334274.76983367, 732213.8968749541 9334227.455035988, 732211.9091721968 9334226.035713458, 732138.4872455241 9334173.830011081, 732075.7864734158 9334124.868418373, 732058.9556984648 9334105.121572386, 731903.6527400252 9333922.967808165, 731895.0093514719 9333912.824244536, 731804.029496219 9333763.697082054, 731775.0495771775 9333697.449366044, 731756.2375533556 9333637.500973871, 731746.7530250833 9333587.063009175, 731734.3601427693 9333511.714287821, 731731.1853067458 9333492.390689436, 731730.9915628624 9333441.906016221, 731750.1366298818 9333369.356531195, 731775.3030738084 9333322.059805235, 731813.174185094 9333284.20517722, 731849.128788995 9333263.47027071, 731857.0180503973 9333258.926808076, 731905.1065527576 9333243.17830978, 731971.0299751444 9333246.298816724, 732012.4845744408 9333262.06831314, 732056.5721954552 9333303.092547929, 732119.4468791108 9333394.574320087, 732176.3488407051 9333473.479792425, 732223.8859387168 9333530.26470501, 732258.6463024705 9333561.778530873, 732286.5664974562 9333571.162082, 732287.1098343759 9333571.348041, 732295.869966156 9333574.400559695, 732368.5502148351 9333580.713732285, 732415.8206558898 9333568.13166789, 732511.1431548339 9333530.26555506, 732512.3023215594 9333529.331908358, 732534.2708160637 9333511.515396802, 732592.8350241182 9333464.023144756, 732646.6415075664 9333394.613745995, 732651.3316493853 9333390.392220102, 732709.7874934182 9333337.822865702, 732772.9455636526 9333284.195484163, 732778.2919817548 9333280.73467078, 732828.1326144362 9333248.386006929, 732836.1521693843 9333243.178183552, 732905.2965259489 9333208.476249775, 733013.2734958525 9333164.277130261, 733046.1972393645 9333155.95326022, 733063.0684317948 9333151.684650062, 733065.6262049486 9333151.608402543, 733164.4486339914 9333148.494455824, 733198.5742676698 9333150.298417456, 733284.4366899766 9333154.844837178, 733375.7587139728 9333173.73926476, 733435.79495297 9333186.371938154, 733464.6246775696 9333187.488288395, 733517.7542077019 9333189.539362602, 733575.1934364075 9333186.363615539, 733625.8411180113 9333173.76733725, 733698.4105660167 9333148.542063875, 733745.5593775753 9333107.486162394, 733767.2898052133 9333071.196746377, 733783.3318014831 9333044.40930849, 733802.4608934332 9332965.53096712, 733807.4896302132 9332937.2596544, 733818.1647735212 9332877.230161995, 733827.1733016563 9332801.499366254, 733827.1931131902 9332795.183002932, 733827.4870291373 9332728.169491734, 733827.6112625728 9332697.372964112, 733827.2198688844 9332596.424509598, 733835.5772622045 9332507.034889014, 733836.9597811734 9332492.317333994, 733837.8806629758 9332464.216791315, 733839.9824786342 9332400.8355872, 733853.1731394841 9332315.652799817, 733868.8395706597 9332217.849932084, 733876.0680673739 9332154.38244036, 733877.8242924259 9332138.955470469, 733879.502795743 9332134.889274245, 733879.5136546735 9332134.833923083, 733890.3078569988 9332088.487315731, 733912.960547729 9332047.470702749, 733954.2073162231 9332009.645105278, 734010.6691541559 9331971.77142693, 734079.8851306908 9331955.993873658, 734153.7802122019 9331956.00538602, 734193.9336288716 9331956.015238957, 734288.6078392246 9331968.633728394, 734369.4590589817 9331983.319111202, 734392.6085293425 9331987.532109305, 734452.6442473774 9332000.16343833, 734503.3166170887 9331997.012722243, 734503.3497517833 9331996.990469582, 734557.2546973837 9331962.300856767, 734591.5248768607 9331867.654970774, 734597.9972725612 9331795.097203882, 734620.4036329626 9331690.995321637, 734635.9933148711 9331571.090448879, 734638.4835844195 9331556.54546681, 734651.6826279374 9331479.625189625, 734670.7726263077 9331391.299278433, 734699.2147316198 9331318.72214523, 734730.2295426363 9331255.614954175, 734774.7530659207 9331189.401946466, 734837.8947855787 9331132.607292712, 734881.7375923273 9331110.500473186, 734954.3547388666 9331101.0355982, 735027.0829812917 9331120.01029298, 735090.6188800997 9331164.164498374, 735150.7896999796 9331211.46233332, 735153.7627572482 9331212.82239029, 735205.8142130256 9331236.822395522, 735262.4307164414 9331241.667443471, 735375.6352060477 9331238.381887276, 735453.03044285 9331190.579296526, 735461.6029301487 9331185.291347187, 735517.850350216 9331095.823710343, 735451.6006228599 9331006.304533387, 735426.3117775312 9330990.186743878, 735378.76472143 9330959.864060529, 735204.2693193418 9330841.653330265, 735163.502106929 9330789.324061861, 735140.4982203273 9330740.144345554, 735132.7851659926 9330710.329523243, 735130.9459035875 9330673.246195743, 735142.5266207244 9330610.380427342, 735156.7060054555 9330563.588474212, 735177.6639953088 9330520.044311894, 735202.8706326376 9330484.083029881, 735226.4007593766 9330452.66366499, 735298.8077545256 9330389.703533761, 735347.0139961303 9330353.751653064, 735378.8349067267 9330330.009864943, 735464.8531424316 9330290.215064853, 735590.7631119187 9330296.889720675, 735697.4858530724 9330366.471134447, 735846.5216390884 9330455.974917607, 735946.3733020573 9330495.782168962, 735991.8033255339 9330522.7387975, 736002.2701011945 9330528.94770925, 736082.0563029493 9330625.061484704, 736168.6869176251 9330741.08201059, 736264.9031472907 9330808.038248455, 736308.9527956354 9330838.683826936, 736321.1783211147 9330847.186693039, 736390.4813626725 9330853.828085696, 736440.2848936684 9330843.87566322, 736506.6327920959 9330741.070250088, 736556.3649129726 9330499.08179571, 736539.2051446852 9330336.980638152, 736530.05010087 9330250.478772305, 736513.7193991656 9330180.863620223, 736467.0849962283 9330137.739515938, 736353.9603856003 9330160.972302351, 736207.9438604654 9330197.40939744, 736055.7777692319 9330170.894535301, 735998.8964373493 9330101.283891808, 735994.6925784186 9330091.045978144, 735889.0141158242 9329833.452250624, 735888.8576124532 9329833.076759279, 735876.0710663432 9329802.905755216, 735796.7907491794 9329623.869908463, 735790.5130161941 9329531.062780958, 735799.6296722877 9329514.976096144, 735829.9486858714 9329461.43887291, 735906.111631938 9329413.584263306, 735972.3771508273 9329371.94100018, 736094.4744281073 9329321.814713554, 736141.9136628653 9329302.335989596, 736241.6465179913 9329312.28637116, 736242.9445668104 9329312.911793105, 736387.2259077765 9329381.923440369, 736439.0602123602 9329452.106633792, 736470.4658753739 9329494.626852091, 736536.4238605468 9329636.303320263, 736609.3509209931 9329792.952419639, 736643.2906015171 9329857.431782506, 736679.1492954544 9329925.54298503, 736733.8337477585 9329985.394124895, 736742.7865282565 9329995.181895405, 736825.6749456639 9330018.384043198, 736921.9425614506 9330008.457924336, 736938.2607235808 9329993.338164508, 736964.8728624525 9329968.675519314, 736973.8865972543 9329926.537934003, 736973.9952797906 9329926.01759054, 736981.457218083 9329889.118454726, 736928.3905584924 9329644.381694784, 736924.6684365284 9329627.183892779, 736912.2387792944 9329555.717040293, 736898.73253544 9329478.015468884, 736902.4918727322 9329364.371650431, 736904.767621143 9329295.689696927, 736948.7141012545 9329174.110563299, 737004.2163447358 9329020.538559403, 737004.282259516 9329020.405554721, 737104.0570883704 9328844.855102943, 737150.6392997162 9328659.215960495, 737200.6922433726 9328500.089689605, 737222.5684256748 9328476.529466487, 737222.5904405749 9328476.49619324, 737253.6983753315 9328443.695793774, 737326.2846255364 9328427.113999803, 737442.9149716934 9328437.09458356, 737512.1764143088 9328433.76699705, 737646.2124602067 9328393.04714923, 737664.9038676799 9328387.375616109, 737826.7648923376 9328309.840951974, 737831.0200145139 9328307.799702194, 737986.361906382 9328281.28655365, 738120.0923091597 9328272.403335981, 738135.8565596978 9328271.356154649, 738252.5793738968 9328304.487724135, 738258.2406308986 9328307.971899897, 738276.2345281346 9328319.039886381, 738355.0479947713 9328367.488205137, 738399.6942722984 9328425.563690905, 738422.2122335155 9328454.855086079, 738441.6692388686 9328480.176296426, 738504.6249701408 9328589.595656395, 738513.8666089551 9328605.1232882, 738553.9546208511 9328672.475904984, 738620.9580731643 9328738.78112988, 738720.1010633548 9328811.70628857, 738806.4221578254 9328851.49601133, 738888.3177989747 9328858.880134422, 738916.2994631331 9328861.401449487, 738999.5719567188 9328844.697640875, 739013.6793623897 9328841.864812544, 739031.9471143717 9328838.207859507, 739098.3068189397 9328809.502492575, 739202.163076563 9328764.585189922, 739208.2208793495 9328761.961413348, 739340.4752705719 9328665.801128613, 739478.401520377 9328523.17868588, 739479.8792409559 9328521.646200128, 739496.4762405 9328504.488806667, 739526.4169898205 9328473.538840514, 739675.4227369152 9328340.960052108, 739808.1238840199 9328262.73923412, 739813.2039890767 9328259.322802648, 739815.1151461245 9328258.186807679, 739825.3120754893 9328249.462157637, 739843.3853654392 9328238.75902508, 739979.7082074292 9328158.034164967, 740040.3574423285 9328122.126561929, 740063.1122594092 9328110.807214312, 740097.2169453707 9328093.866999023, 740170.2335548564 9328057.57777104, 740187.0648341338 9328049.213602927, 740245.6123470485 9328011.145936811, 740345.499752957 9327946.208034476, 740378.3353139218 9327924.85885313, 740385.9229082313 9327919.916757466, 740499.7319396993 9327806.005301574, 740541.5982383512 9327764.110278482, 740565.7988452783 9327721.323778985, 740578.6193819684 9327698.672059553, 740586.5689795152 9327684.624225637, 740587.4596401055 9327683.060867142, 740644.7779412048 9327581.765614806, 740725.2928695771 9327411.204542553, 740727.7084487575 9327406.09511719, 740738.1245714473 9327396.871525174, 740829.6739958569 9327315.859110728, 740843.8858473842 9327303.29046306, 740891.398165701 9327291.461655837, 740949.1319548993 9327277.080498686, 740950.2270828887 9327276.799530832, 741049.1210906795 9327290.063082231, 741124.9752289183 9327320.720784172, 741155.6208273292 9327333.108730998, 741155.7428105908 9327333.15248853, 741274.6283127724 9327468.197530285, 741275.4180784773 9327469.079330776, 741287.8653179805 9327485.74429389, 741288.1547379157 9327486.119245484, 741354.4115718082 9327575.158123499, 741442.4945553709 9327675.237659408, 741447.7675511476 9327681.234292936, 741460.9277199864 9327696.181717109, 741520.7547728807 9327764.117474483, 741643.5414116934 9327833.724008363, 741643.6967503809 9327833.80081778, 741723.0943960997 9327866.910717743, 741809.2816137595 9327870.202238867, 741873.9388924552 9327853.53563794, 741912.2354817984 9327843.668184478, 741934.7207182248 9327825.977135213, 741947.8674217785 9327815.624962617, 742038.5696374202 9327744.204843922, 742069.1200394661 9327705.528997589, 742174.729631964 9327571.844572892, 742183.6330865603 9327536.364716912, 742205.2101775997 9327450.289592879, 742210.4846990362 9327429.282926109, 742214.153517676 9327293.37790115, 742201.3674599126 9327264.21394238, 742164.6972894019 9327180.64238232, 742081.1210023408 9326985.066209435, 742057.907117943 9326904.714676062, 742048.551878978 9326872.317701174, 742052.0889930861 9326832.45675043, 742054.1963882665 9326808.697324567, 742058.252143619 9326762.926967613, 742094.6687759375 9326663.638572738, 742098.3597299119 9326653.578993848, 742159.5777935709 9326561.86731488, 742171.4208121179 9326544.141654307, 742247.4122064547 9326474.738050967, 742287.5702241854 9326438.069379129, 742419.9075944159 9326361.83267867, 742633.2298760109 9326298.08800843, 742641.8233698277 9326295.519813858, 742927.9282518716 9326225.891698362, 743010.6866402664 9326203.319581898, 743105.4351307728 9326177.479358196, 743105.9881548533 9326177.322233155, 743146.4933628202 9326166.238726275, 743415.684067466 9326089.9728511, 743627.4399552788 9326017.048426995, 743641.236383311 9326011.405587964, 743651.7384895942 9326007.114746405, 743773.3526179624 9325957.379280059, 743948.8971527285 9325838.083442677, 743997.1974817583 9325805.262742158, 744075.7985622599 9325751.84139909, 744304.9259958096 9325589.380200192, 744417.3465761954 9325512.190167604, 744536.6019427788 9325430.292349344, 744780.9819160247 9325277.600475822, 744786.0294448355 9325274.449059121, 744839.4869174595 9325251.883287387, 744958.6276579625 9325201.612563323, 745060.9660840502 9325158.424245412, 745276.8690786116 9325068.914281646, 745284.2952737182 9325065.266268339, 745284.4610506047 9325065.188148301, 745295.256418299 9325059.557133213, 745588.7861154717 9324906.481414838, 745788.0234418614 9324838.609750018, 745867.4728681 9324811.554789798, 745880.6757103223 9324807.053151742, 746063.1073535725 9324793.744228635, 746129.3691737899 9324804.389480677, 746293.8937374733 9324830.824462265, 746389.9845821537 9324859.621721791, 746422.3031766915 9324869.311778547, 746623.7873910936 9324929.688355869, 746723.4231726427 9324934.641504563, 746784.3388396413 9324937.674998203, 746823.2031197076 9324939.62708447, 746945.1562687261 9324918.932635933, 746979.393019146 9324913.126705116, 747141.4711406797 9324883.282640936, 747156.9222382326 9324876.19375777, 747161.2879103648 9324874.195431052, 747307.5868372775 9324807.057437789, 747460.2364930629 9324744.018996637, 747532.512019928 9324744.028625686, 747635.9589353643 9324744.030352047, 747749.3517107279 9324787.124248754, 747894.973209563 9324863.382898612, 747947.9424246355 9324901.937614268, 747948.3644937006 9324902.245616399, 748056.5820434878 9324981.480614884, 748090.7923158276 9325006.528224533, 748180.550042433 9325072.254831975, 748263.3643215469 9325108.572194248, 748286.3504461293 9325118.654264912, 748405.6055193325 9325151.810672577, 748416.5506563159 9325150.249478457, 748544.926338153 9325131.925598647, 748559.3405045542 9325128.436051203, 748664.6977070859 9325102.91742132, 748668.1491518356 9325102.084380427, 748671.2457924967 9325098.487113954, 748685.5278174861 9325081.89970182, 748790.9015198643 9324959.50354392, 748817.3229820596 9324813.640493007, 748817.4006395908 9324628.005863188, 748817.3689870615 9324599.209444923, 748817.2543508052 9324497.50931117, 748817.1070089163 9324356.182244629, 748823.5167740759 9324273.604609223, 748823.5588943721 9324273.084480094, 748830.7488774585 9324183.788434539, 748840.9578462811 9323998.16671555, 748838.1624693603 9323965.200086877, 748830.2881331136 9323872.183493536, 748823.929105022 9323847.628456768, 748809.4101870197 9323791.545266416, 748780.5977226275 9323680.307237852, 748774.4750333361 9323656.658373468, 748770.737415425 9323570.48347296, 748782.7902793781 9323529.367838584, 748794.0571053635 9323490.94375106, 748850.4551545996 9323441.223785724, 748855.7866326272 9323439.840752805, 749015.8524134315 9323398.271552324, 749084.34305447 9323412.233740104, 749084.5536263563 9323412.277109763, 749179.0465314887 9323432.093195595, 749542.3001403649 9323613.639075246, 749649.7587587109 9323667.341167618, 750243.688615335 9323928.88547517, 750382.7285090239 9323990.12055178, 750384.4814205199 9323990.90971146, 750397.1181016127 9323996.642483583, 750550.07986166 9324008.40052332, 750712.9356385446 9323960.92966744, 750715.4685109194 9323960.233096648, 750904.1304661377 9323822.069254758, 750905.1453745628 9323821.157812156, 751109.4845359788 9323637.933685644, 751117.8037262363 9323615.053493574, 751126.0353492234 9323592.417053247, 751162.9350606508 9323490.902112901, 751162.7944567065 9323255.681225795, 751144.5722055275 9323143.977647936, 751150.0482241367 9323124.384073295, 751157.6620784673 9323097.092681317, 751203.661642546 9322932.291925916, 751222.9691136414 9322868.40997865, 751256.9864423679 9322755.87708993, 751257.8565622272 9322741.679571811, 751267.8397605564 9322578.192465512, 751268.833470421 9322561.803945793, 751264.1257714762 9322446.237535248, 751246.0329849953 9322362.644534608, 751231.1371552772 9322236.423312897, 751228.0091634259 9322198.512555739, 751223.1182540907 9322139.124897428, 751231.7821667336 9322095.76549451, 751247.9390077207 9322014.948209459, 751293.8908360986 9321928.307308346, 751294.0336122058 9321928.030128501, 751345.3747794414 9321882.498612786, 751443.1958546888 9321841.095747925, 751536.0859209134 9321832.84735035, 751572.7561417224 9321842.416315421, 751623.2054272415 9321855.577643704, 751687.5913532096 9321899.036820421, 751812.2470174119 9322010.078915665, 752000.6564644056 9322171.92850286, 752010.6587893197 9322180.52630138, 752039.8219366169 9322192.737831676, 752099.5239110402 9322217.763490867, 752179.8614340788 9322236.417650374, 752233.433325444 9322236.389248235, 752246.5328907428 9322236.3889181, 752247.440874792 9322236.385060975, 752304.8886140322 9322236.406508213, 752414.5915111527 9322205.350835301, 752464.2118529961 9322153.596920747, 752489.2150975415 9322072.884877017, 752490.2383413832 9322047.911115933, 752493.0378746514 9321979.761594113, 752472.4195069664 9321899.022317884, 752430.7816766157 9321841.073935954, 752356.0848250089 9321758.307826228, 752294.0204939356 9321667.245983923, 752271.6929031607 9321580.3076506, 752271.6909742878 9321579.854072386, 752271.4200725071 9321516.153990205, 752292.3075770787 9321462.364937577, 752311.8639577164 9321441.870353362, 752331.8392564699 9321420.94251474, 752424.6145253603 9321385.787478127, 752441.3722982933 9321381.589613648, 752548.6773547675 9321354.714061942, 752656.6732265595 9321323.653480498, 752708.0749501303 9321292.634740345, 752723.9620224297 9321263.415720718, 752747.4740526902 9321220.191469705, 752750.7973813657 9321189.355455158, 752756.1338450599 9321139.836311333, 752762.0983425509 9321084.39571595, 752760.6282172605 9321077.21095683, 752749.1609111405 9321021.092397956, 752610.4974213726 9320795.896511907, 752572.1820685046 9320725.056822345, 752571.4298681301 9320722.63720841, 752541.3306144628 9320625.808456028, 752482.6031796775 9320436.93505752, 752471.9601399114 9320402.695878597, 752439.220485125 9320247.509526674, 752439.1979625286 9320247.42111791, 752445.5464629666 9320152.229254052, 752457.8096150524 9320101.607516432, 752461.0848053057 9320088.074436251, 752474.6099146632 9320032.192326883, 752514.0408857543 9319970.09283965, 752590.5833963619 9319891.428298771, 752660.3975383309 9319850.019703628, 752667.2673799588 9319845.94126745, 752793.0010299622 9319812.812254393, 752878.2835585542 9319802.468874672, 752961.1254556305 9319816.939352991, 752978.5139595689 9319833.470781405, 752984.2730634755 9319838.944538532, 753011.1785963669 9319864.52917401, 753047.7540409147 9319924.556275513, 753079.2339739575 9319976.329937628, 753096.9706707618 9320053.552297395, 753154.9870838902 9320306.086113736, 753165.5432433136 9320325.080662483, 753226.269237499 9320434.368352793, 753251.1868989334 9320479.233532542, 753317.4535911002 9320566</t>
  </si>
  <si>
    <t>Bogor City</t>
  </si>
  <si>
    <t xml:space="preserve">POLYGON ((696978.324435389 9279974.354261091, 697024.6927627844 9279964.424907364, 697052.8604549614 9279931.323051292, 697079.3605344119 9279883.318421904, 697102.5435615061 9279813.792006183, 697117.4555968124 9279760.818132836, 697129.0479040546 9279701.231134359, 697147.2647495477 9279635.01801936, 697177.0784180914 9279591.978496134, 697188.4209360736 9279555.662208306, 697204.4259182367 9279533.45283986, 697213.6061039915 9279508.159764407, 697290.9547833676 9279519.42183911, 697316.9133311012 9279524.88212197, 697324.4739980651 9279526.48119142, 697334.2925551442 9279528.45937232, 697375.7592059671 9279530.745932383, 697381.9327077151 9279531.07801839, 697385.9357152681 9279530.721008988, 697425.0039606033 9279527.29807806, 697454.8276304823 9279524.68200859, 697484.1345700432 9279529.212407932, 697542.1764536921 9279539.171035996, 697542.5654663972 9279536.570595955, 697543.6779407759 9279528.979605881, 697545.2050329805 9279519.772411084, 697545.2114936197 9279505.96970218, 697548.8533355352 9279487.951386262, 697549.4244957498 9279486.810200823, 697555.9488450693 9279473.758612048, 697557.4815906704 9279463.025137067, 697562.078335948 9279452.28081676, 697568.212253347 9279447.680328863, 697594.2955048312 9279444.612897508, 697617.2982513377 9279440.019041069, 697639.9572236235 9279422.685444092, 697643.3770457847 9279420.074269276, 697657.709085985 9279406.54155684, 697670.9827141399 9279393.996914245, 697674.7769650107 9279384.671080159, 697687.848623162 9279352.584386041, 697691.616068706 9279345.061400155, 697704.7195696556 9279318.847366113, 697719.0081377159 9279296.179339943, 697731.7229045426 9279278.891973358, 697739.8173419004 9279265.679941973, 697740.0478273756 9279265.170371823, 697748.5002773143 9279246.858475324, 697761.7233576492 9279235.6743359, 697773.9225437439 9279210.248723468, 697779.0118031802 9279198.042719908, 697786.5607141065 9279186.967161579, 697786.5827191587 9279186.933903996, 697790.1964141292 9279179.732185172, 697793.7641326952 9279175.162875414, 697795.797854257 9279171.594390873, 697798.3350251536 9279166.50892055, 697800.3746751117 9279158.372692453, 697802.4050665179 9279150.745250486, 697802.9141660043 9279147.701983988, 697805.9640020428 9279140.579680884, 697810.0353643426 9279131.42980099, 697826.3010424933 9279064.305126047, 697832.2443878497 9279024.700802436, 697835.4536566241 9279003.277526755, 697844.0996188737 9278961.584357213, 697852.2334589724 9278937.677259838, 697855.2942350184 9278908.700618414, 697858.8509170735 9278879.202402676, 697870.0413294863 9278856.324079966, 697886.8207037803 9278818.694178808, 697892.4063548127 9278774.95470523, 697895.7627934841 9278763.849747255, 697902.0709520957 9278742.924210474, 697915.800202343 9278715.458068455, 697918.3466668944 9278684.95697244, 697914.7075972587 9278672.527538208, 697908.6833551519 9278651.900148679, 697899.531348691 9278635.121636245, 697890.8881631899 9278618.34131763, 697884.7870311236 9278604.095745342, 697880.2031336818 9278590.364601484, 697879.610060531 9278575.977819936, 697878.6794385591 9278553.750790998, 697871.5636559519 9278524.766019383, 697861.3913734793 9278469.845652116, 697859.8916332829 9278455.561628731, 697856.8116222316 9278426.120138692, 697862.4059483464 9278412.894798439, 697862.9184035601 9278388.992607446, 697858.8456475995 9278344.756540459, 697860.5374090136 9278332.120166274, 697860.712701884 9278322.298382193, 697860.7992671091 9278321.756141366, 697862.1206527965 9278313.84364493, 697860.532794676 9278305.897238431, 697861.3313595939 9278297.157108188, 697863.7140785092 9278282.859299667, 697865.2959771154 9278245.5155707, 697867.6797137937 9278206.587432032, 697868.4809836672 9278158.120245783, 697870.0667807442 9278137.454780363, 697870.3157726466 9278114.128634108, 697871.6603822507 9278109.644611781, 697885.1637054211 9278074.69170282, 697923.3078893095 9278066.747926205, 697932.7749919689 9278078.824849466, 697946.3423198534 9278096.140642917, 697983.2491240897 9278228.683745977, 697985.2771685955 9278235.987116704, 697996.4076397631 9278236.777057843, 698001.1656916881 9278146.987144716, 698010.7028919423 9278104.085170934, 698019.4401191503 9278088.194252929, 698078.2452858001 9278023.837895364, 698110.0176634497 9278009.535079194, 698183.9139975035 9277958.684297824, 698195.8347976196 9277917.366383579, 698185.5098473021 9277891.146953892, 698172.6140813933 9277869.847261986, 698185.50711289 9277856.186662367, 698219.6737630136 9277837.119476128, 698228.4167830152 9277825.995287292, 698249.0735029224 9277824.406549701, 698255.4252479025 9277787.853118766, 698250.6605149348 9277717.142081784, 698253.0461482056 9277706.814709486, 698255.42842301 9277689.331599217, 698262.5816905156 9277682.183557807, 698267.3457277386 9277675.03296319, 698274.495631244 9277660.729180964, 698276.8809725684 9277647.216557544, 698281.6468263564 9277628.154449267, 698284.8198054369 9277609.07589304, 698286.4084988761 9277592.391915726, 698287.205654172 9277567.758694023, 698284.0349756177 9277547.110106999, 698282.8820892139 9277540.190720337, 698280.8477692998 9277528.032083984, 698276.8778215082 9277506.578972388, 698263.3710756785 9277459.699958507, 698260.9895906638 9277452.55269094, 698255.4250464325 9277443.016764777, 698253.8335075434 9277424.740432106, 698252.2907333693 9277404.62798376, 698252.279042036 9277404.451067131, 698253.8340157958 9277396.935861344, 698257.0190930393 9277390.576137278, 698260.9895399614 9277384.224674957, 698263.369999044 9277378.664128702, 698266.155212393 9277368.733482525, 698266.5457827805 9277360.381871834, 698267.3468201265 9277349.263825461, 698262.5761212016 9277342.114010856, 698260.9907419363 9277331.77865902, 698257.8097827288 9277320.663739303, 698256.2190167351 9277311.921031408, 698254.6282508699 9277303.178323576, 698249.0714452906 9277286.497682594, 698246.6891426533 9277269.80573232, 698243.5025127067 9277257.098209014, 698241.9171351263 9277246.762857951, 698241.1225129727 9277234.843125142, 698235.5626282619 9277214.191995144, 698233.1733736312 9277180.025441265, 698227.6219637839 9277161.752158912, 698223.644583883 9277150.62901874, 698220.4635935319 9277139.503041279, 698214.9070496401 9277125.996591074, 698203.7841839313 9277114.86572891, 698195.0366672969 9277102.952211143, 698192.6603343335 9277091.03811535, 698187.0955360092 9277078.316946916, 698186.2955309339 9277067.989859812, 698185.509136745 9277055.273788026, 698179.148241153 9277045.740704516, 698139.545023643 9277041.347225098, 698129.0881538369 9277040.17894238, 698130.6855821105 9277029.058066407, 698129.8909742523 9277017.13833844, 698125.1197839876 9277003.629090777, 698126.703597062 9276994.89719877, 698125.9146218168 9276984.559014728, 698134.6523327014 9276978.201635582, 698142.599329235 9276973.439695094, 698141.804716235 9276961.519966578, 698141.0155297581 9276948.01865478, 698137.0424944821 9276922.584006296, 698138.626299917 9276913.852112556, 698204.87655896 9276890.611483335, 698215.4929592941 9276886.890703622, 698212.7275329714 9276862.015802165, 698209.9643510695 9276806.737249302, 698200.8471839917 9276715.934852025, 698165.5723473171 9276579.028537443, 698154.2739711574 9276531.046767235, 698135.3253765809 9276400.397474127, 698133.1018149802 9276363.078272834, 698179.5588140358 9276347.871174974, 698234.7225191875 9276336.26062002, 698255.897111971 9276324.970349217, 698240.3674798253 9276281.538237961, 698215.4933425428 9276226.250075942, 698227.1940849286 9276219.572397498, 698240.3740084436 9276212.05994618, 698284.1238487896 9276200.766520252, 698285.3758794796 9276164.175906194, 698284.1253913515 9276133.013573308, 698283.0927347995 9276110.20068686, 698281.8325141851 9276082.511197086, 698326.0649882004 9276082.508144129, 698382.9318582485 9276070.913399296, 698428.3387204764 9276071.448004121, 698450.4494771129 9276071.457502078, 698491.9179330481 9276068.68815099, 698505.7309981326 9276021.700529352, 698502.9748110396 9275974.705753546, 698502.9711686875 9275970.591479344, 698503.111072394 9275963.31355733, 698518.4583243858 9275968.036590112, 698526.0651920608 9275970.287744658, 698542.5887367968 9275966.800111393, 698560.4475438911 9275974.821070936, 698569.5571342313 9275976.63551171, 698581.5842303236 9275977.731686234, 698592.1487000869 9275978.103133101, 698611.8292502388 9275982.10281572, 698627.5051305584 9275982.832016692, 698643.1693051567 9275980.287519034, 698654.4754673389 9275977.736482946, 698665.7732092475 9275982.108984817, 698704.6041776979 9275990.32033045, 698796.2467119707 9276009.712277908, 698806.3694034748 9276010.262226067, 698816.5029189361 9276010.74577413, 698825.7847961761 9276011.24342862, 698835.9183525579 9276011.738033023, 698845.2003893952 9276012.279923517, 698855.3345014108 9276012.929361533, 698865.4579493536 9276013.689435257, 698870.4955456962 9276015.053891785, 698871.1487642357 9276015.228512099, 698875.3338506793 9276016.363761758, 698886.6342428762 9276021.466171782, 698897.2020134472 9276025.841247663, 698909.5896249685 9276028.760954276, 698920.8867088082 9276029.848614452, 698924.5296047633 9276024.747999279, 698942.8907177136 9276024.748604046, 698943.2114800109 9276024.747455278, 698943.1219044088 9276042.974550402, 698942.1259289857 9276052.102564266, 698939.7164280439 9276074.220004352, 698933.2772631932 9276129.343659444, 698928.9015429028 9276180.002767768, 698928.6692532626 9276192.357546216, 698927.6327896747 9276245.791799387, 698931.4248066976 9276300.878816226, 698937.6567239966 9276326.880532624, 698957.3296490619 9276328.701353645, 698976.2823701781 9276336.353333239, 698986.7087138434 9276350.638620052, 699011.583115513 9276381.04180078, 699053.0513741554 9276405.92193998, 699083.4528729798 9276444.622386783, 699119.0885039702 9276446.8947435, 699119.0885435911 9276446.905803304, 699118.6753162532 9276451.972737938, 699122.2830530241 9276455.576415168, 699124.9694498688 9276458.265417615, 699128.710432936 9276462.012396576, 699133.7137025136 9276466.130891288, 699140.0926017722 9276471.383631645, 699145.8329889091 9276474.393490344, 699154.1553939722 9276478.743410936, 699167.5688531676 9276483.92670488, 699180.252333655 9276492.209397206, 699195.473118898 9276501.699589465, 699212.3898315827 9276512.190156503, 699230.1496362787 9276523.363415333, 699249.6036279352 9276535.05041561, 699268.2175563241 9276546.895261938, 699287.4959799031 9276558.969981052, 699305.4329515999 9276570.18682872, 699323.0818325884 9276581.260926083, 699339.2563298756 9276591.422330126, 699355.2198041368 9276601.34116874, 699369.7088920585 9276610.347315228, 699384.0747287172 9276618.911502928, 699397.6202382039 9276626.96987217, 699410.3118005792 9276634.400884392, 699422.1387904424 9276641.326237636, 699433.9858029 9276647.665339436, 699444.9683606877 9276653.53196216, 699455.2515834703 9276658.704314576, 699465.3907387932 9276663.79976273, 699475.4079880902 9276668.829287136, 699485.5232403518 9276673.427120045, 699494.8629994924 9276677.684875203, 699504.1473366978 9276681.909648156, 699512.7224663977 9276685.771985967, 699521.9734257319 9276689.941576632, 699531.1911642945 9276694.100225387, 699535.2125941383 9276695.8443285, 699539.7325998924 9276697.818901427, 699548.9276641743 9276701.82278981, 699557.39151741 9276705.497502351, 699565.1841876467 9276710.158959989, 699573.5200363612 9276715.150266325, 699604.635354588 9276733.774165181, 699638.7722647062 9276749.84341075, 699658.9275794923 9276756.561867442, 699652.928562528 9276733.910464209, 699646.9967476218 9276711.491079606, 699643.2371030865 9276628.632209275, 699639.464508899 9276551.413971558, 699638.8489807978 9276521.698036699, 699637.580241724 9276461.016524969, 699641.3492791275 9276355.546146043, 699639.4717944652 9276300.927683162, 699626.2801164425 9276231.253005262, 699626.8352294641 9276222.591052197, 699631.9349948679 9276142.730782738, 699635.9669520331 9276141.256378543, 699688.43744771 9276122.022534225, 699741.164608292 9276146.496746814, 699760.712184394 9276159.587844413, 699766.3543264396 9276159.87723781, 699773.1757689505 9276155.915357543, 699800.1921803241 9276132.835565249, 699806.41792024 9276132.392896231, 699813.7885718418 9276136.59130194, 699828.8326586515 9276146.137260694, 699834.1860640966 9276149.18162161, 699839.9735499697 9276149.901824005, 699899.8499654863 9276098.556097146, 699928.0918708474 9276105.599223165, 699956.718450123 9276090.443549072, 699978.6081268196 9276090.44217771, 700013.9697756835 9276071.922104642, 700022.3835636419 9276095.493841125, 700022.383144153 9276129.17152817, 700061.1126636725 9276127.483678568, 700078.6365207434 9276119.169814197, 700079.954482322 9276131.928305916, 700080.8915104363 9276152.55182836, 700079.4827081059 9276203.643033138, 700079.2116551964 9276220.521566099, 700079.012162547 9276232.699342143, 700088.854979247 9276253.78849655, 700119.3233044186 9276301.601756554, 700137.1428395112 9276323.159884555, 700141.0213738268 9276328.222456876, 700182.1400600302 9276381.759611953, 700196.6692804333 9276408.00796661, 700185.512602583 9276427.524817154, 700185.9357958501 9276449.820258915, 700189.7987482441 9276475.122693036, 700196.0191030683 9276488.527133904, 700211.6704248891 9276522.281194756, 700200.0862041007 9276542.87240261, 700207.381683378 9276581.456601026, 700221.0996061242 9276631.19933569, 700242.229053383 9276687.241704077, 700290.1388736977 9276814.29240597, 700417.2857963282 9276847.788566884, 700583.5491735599 9276891.573019179, 700591.0004276375 9276893.536949813, 700622.4538455056 9276895.33688395, 700665.3952654828 9276892.804063018, 700757.1393147209 9276887.396420943, 700767.8110624384 9276886.760656705, 700791.9763222553 9276885.8107356, 700800.4037178761 9276885.470628578, 700822.2701605975 9276885.048815466, 700863.438131429 9276887.620918619, 700882.7290709098 9276884.620334111, 700900.7446393336 9276883.758937228, 700926.4650113177 9276884.617186219, 700934.6443208661 9276886.025441624, 700950.7816012803 9276888.809568785, 700978.8249429293 9276895.819846386, 700985.3126755977 9276897.444348697, 701000.4274536509 9276904.999038078, 701022.0104212221 9276917.949770186, 701034.3304563435 9276920.415871847, 701038.2046662613 9276921.187131906, 701058.7088514626 9276941.695766937, 701065.1803090657 9276944.93508817, 701052.2296798818 9276899.602520356, 701045.7524666348 9276848.871369708, 701039.2843220079 9276825.126707131, 701033.8891356145 9276783.029545601, 701031.7257716652 9276750.653544031, 701029.9015680834 9276723.363938902, 701027.410056358 9276685.890441712, 701025.2512185528 9276657.82784347, 701004.740010642 9276620.054517632, 700997.587615472 9276587.55277689, 700992.8754051809 9276566.091201857, 700995.0317311818 9276526.15663403, 701014.457687469 9276484.058205739, 701025.0432449661 9276471.842809504, 701042.524322546 9276451.683473395, 701061.635232324 9276438.70726592, 701072.7354785487 9276431.179455407, 701116.9948918236 9276432.25804957, 701163.398891696 9276445.207348872, 701203.3386785313 9276453.844471997, 701264.8625541396 9276445.205021737, 701287.4538213502 9276437.270568147, 701304.7977287904 9276431.180019546, 701332.8558691785 9276430.094045369, 701373.3272377921 9276432.789868299, 701403.5573079237 9276432.79093633, 701427.2945035095 9276432.793398364, 701457.5135208941 9276432.794477154, 701488.8197626299 9276430.634883514, 701514.7256095707 9276433.870048914, 701520.1174990331 9276423.077984696, 701521.1999770021 9276398.255246125, 701526.5983415225 9276383.149725968, 701528.1987678001 9276363.899387026, 701528.7497952027 9276357.239221904, 701542.7875428506 9276345.365092015, 701561.1359058691 9276335.654158564, 701573.0084233541 9276336.739225117, 701576.2469694423 9276360.484531997, 701564.3741136442 9276392.85620795, 701567.6101039725 9276421.998843025, 701579.4802710358 9276446.829914957, 701591.3483708757 9276461.939183285, 701635.0711084706 9276461.393489419, 701652.3348341242 9276448.445862439, 701672.8424505219 9276414.981058544, 701687.9575258439 9276389.07878849, 701698.7449391979 9276350.22979371, 701698.7504788506 9276324.327048253, 701699.8215705534 9276281.155637776, 701699.9981305458 9276265.803594753, 701700.0744352979 9276259.399526795, 701699.2405499845 9276249.07243137, 701701.6785636691 9276222.906473013, 701704.3228543003 9276186.531303052, 701704.8866349644 9276155.970231272, 701704.3280404175 9276136.16364016, 701705.892248322 9276131.335762534, 701735.0598036351 9276122.049985876, 701762.8773836768 9276130.896584876, 701768.0156869126 9276132.53693843, 701798.0458009285 9276165.829355523, 701816.3259547921 9276198.268577605, 701816.7371385994 9276198.797968663, 701816.9372000177 9276199.062684283, 701846.4098018751 9276237.201439891, 701863.8485499008 9276272.464041108, 701871.4720791758 9276297.48746787, 701901.8628759839 9276262.570927314, 701909.0896831972 9276260.598091444, 701914.8357657943 9276259.02879854, 701918.811171763 9276241.99285873, 701918.9429965969 9276235.65494217, 701919.3558490615 9276215.336037325, 701925.8796809078 9276153.851348255, 701924.2731306292 9276125.720289778, 701922.8950067891 9276111.745330703, 701918.9678104623 9276072.042781308, 701914.2407672885 9276031.391971216, 701913.3503564711 9276023.785858188, 701901.6627692085 9275985.317069447, 701894.867343795 9275962.934006069, 701889.0937580399 9275935.625484537, 701896.1862863245 9275918.025204418, 701908.5230816775 9275903.834488904, 701915.9423006091 9275900.036022423, 701928.296575981 9275893.69790904, 701940.6072891183 9275887.547972243, 701951.0022189581 9275862.536461184, 701959.9795709327 9275849.209570695, 701968.1207947965 9275837.12445001, 701980.3800043545 9275819.859280715, 701980.3159643945 9275802.251825456, 701992.0779454656 9275788.173769297, 702006.3529477706 9275768.611814123, 702059.3627781519 9275724.488192657, 702073.1346778942 9275715.623166999, 702078.7295022601 9275712.019329632, 702094.7456057592 9275708.90844782, 702098.963937588 9275706.99075494, 702108.22791204 9275702.532990266, 702149.426384093 9275661.98041235, 702157.0000752972 9275655.05132435, 702206.7374128234 9275641.786084492, 702220.2250531571 9275636.881567925, 702227.3959097599 9275628.682020254, 702241.2309517661 9275612.870952383, 702257.1049335822 9275567.7210068, 702261.2437670891 9275547.02349864, 702276.0690493481 9275469.073031278, 702283.3365559985 9275408.49236706, 702289.5151946864 9275386.028855123, 702296.6653384698 9275360.022559635, 702302.72265806 9275310.351575688, 702305.1495831786 9275281.265657198, 702313.6312751877 9275253.39639684, 702323.3274537188 9275227.955932217, 702336.6538484866 9275194.030167175, 702342.2962079253 9275173.150188815, 702348.7679669084 9275149.192467777, 702341.496683587 9275117.697619434, 702303.4089361713 9275073.861452708, 702305.918377571 9275067.4153077, 702299.0916471584 9275048.626927063, 702291.8181225031 9275019.543198401, 702297.8730779528 9274978.35532533, 702291.4965477478 9274910.137598652, 702299.471492552 9274894.989317305, 702310.2695119604 9274874.477633731, 702314.4398789839 9274859.43170661, 702335.4429889722 9274825.67699008, 702352.4015973511 9274799.02656016, 702370.5812674254 9274767.516266203, 702362.0932417758 9274736.014807057, 702340.2879897857 9274698.456755575, 702340.8465629565 9274684.817576285, 702342.7037686533 9274639.077158105, 702342.0198651161 9274633.52746838, 702336.6535911309 9274590.611625684, 702337.8593252471 9274536.091839949, 702336.9728143227 9274517.458754983, 702334.229834452 9274459.911845276, 702370.579450622 9274442.790781112, 702408.1396959538 9274420.986828446, 702477.2008890787 9274350.701781392, 702534.1570214449 9274279.21104442, 702569.2924472963 9274229.533168517, 702602.0033282252 9274188.336190114, 702613.6632817128 9274167.688498266, 702644.4120200886 9274113.21540986, 702652.381719444 9274075.537506387, 702657.7420163685 9274050.21227276, 702652.8948738242 9274004.16447634, 702660.1701966723 9273946.005703945, 702672.0832420443 9273912.936500333, 702672.105120325 9273912.870059367, 702691.6751382565 9273898.75205053, 702703.7820696842 9273885.424497245, 702726.8784487398 9273882.851426955, 702747.4098333481 9273880.575300293, 702778.9127812351 9273866.037521327, 702777.355889217 9273836.556838924, 702786.1857982047 9273816.361837564, 702801.9291975372 9273781.221359082, 702822.5304511099 9273749.712930432, 702848.014995167 9273695.568564532, 702851.6148873073 9273687.923863573, 702856.0830870987 9273675.763434077, 702873.4191232084 9273628.55043454, 702873.4238703012 9273569.478075787, 702873.4201822923 9273541.307848543, 702877.0575664734 9273426.202434141, 702897.0610932052 9273340.324332787, 702900.3697739248 9273322.64911478, 702910.3647763226 9273288.436548961, 702917.0641036025 9273272.430040427, 702928.8135834282 9273255.188391741, 702932.975408357 9273240.938690893, 702919.4604968026 9273202.034336824, 702929.3785629972 9273180.032466328, 702934.3475981224 9273168.743928403, 702940.2599971057 9273155.317316353, 702942.7696277401 9273148.98169357, 702964.8980835126 9273075.60476162, 702966.1110181747 9273071.574408904, 702983.4725691538 9272974.159062281, 702976.415044853 9272907.602715142, 702989.8379164041 9272867.172757, 703009.1244169764 9272854.294283912, 703037.0007462683 9272825.214287532, 703063.6559399299 9272794.922132807, 703067.3523154313 9272753.344405638, 703068.4992716416 9272740.388723474, 703074.5592554437 9272685.861901691, 703077.5179221722 9272678.330112677, 703084.4322361987 9272660.67478922, 703122.0502840634 9272564.711178254, 703128.7358365939 9272545.010547033, 703165.8211109823 9272644.216856388, 703234.2292021678 9272725.20253366, 703215.688639875 9272778.514418537, 703245.8245892024 9272852.68389849, 703285.2205307201 9272864.273969477, 703319.9939146898 9272854.999365702, 703394.6910289117 9272886.53383598, 703347.5711376615 9272711.524667758, 703260.0570424405 9272475.932557877, 703215.198578254 9272338.287531665, 703213.5653566729 9272333.283271192, 703206.4179381551 9272317.593023144, 703201.3781941048 9272303.587234356, 703199.7592864434 9272296.459365161, 703192.6674996394 9272277.849023236, 703161.0283011182 9272194.870164486, 703155.8888672838 9272180.820503091, 703141.978752183 9272142.758243771, 703130.1536637172 9272109.245116405, 703125.1688393061 9272095.12852658, 703124.3238710909 9272090.928762736, 703111.6973379606 9272053.01663006, 703106.9555594994 9272038.821726153, 703075.8529571567 9271948.319988215, 703070.9879829547 9271933.705251765, 703054.0000486004 9271882.758144118, 703039.9971148075 9271837.473938286, 703037.1986928922 9271828.403817203, 702998.5288354645 9271701.210119808, 702994.6095673277 9271691.115523886, 702983.6726947847 9271673.536864698, 702983.3166566172 9271672.963044243, 702981.163025769 9271664.786428811, 702980.5955858269 9271660.862151232, 702973.8693322522 9271642.372138655, 702925.4034679768 9271482.951940686, 702918.4121251529 9271458.53465131, 702912.7989825483 9271438.956653329, 702893.1808058347 9271388.528008305, 702890.3725714982 9271379.789732745, 702856.2046042345 9271273.660236705, 702838.8309517525 9271226.032632831, 702833.7912903049 9271212.015798489, 702828.6980379476 9271198.463688573, 702827.0671761424 9271194.089855002, 702824.8242347495 9271185.681308413, 702822.0164992331 9271180.08412174, 702810.2563183816 9271143.09789372, 702792.8759745915 9271087.6175989, 702777.1930638159 9271045.591295263, 702769.906424898 9271022.059916053, 702759.2598010257 9270990.124098428, 702757.4170999014 9270985.28651726, 702754.7814171931 9270978.35041863, 702750.8205333499 9270968.952773198, 702750.642069743 9270968.5442029, 702736.2812754232 9270925.119463194, 702726.2020636507 9270897.09686258, 702721.1591500998 9270879.175805375, 702703.7866001866 9270819.769137446, 702670.1693301505 9270718.913376445, 702652.2353811929 9270666.23336202, 702642.7064535406 9270640.465019645, 702615.2554223815 9270559.207343739, 702611.3280427656 9270546.878635565, 702591.160327733 9270485.248108001, 702579.2833915981 9270446.536949877, 702568.2054447625 9270417.577919118, 702523.775598448 9270257.556900756, 702516.0286908721 9270226.119218338, 702512.6128122474 9270214.529665235, 702504.0322875538 9270175.950185392, 702497.502797652 9270129.687419102, 702495.3676665672 9270114.487548474, 702484.0860493259 9270030.095764924, 702479.7104043437 9269986.070298528, 702479.6487739163 9269969.303325413, 702476.0607706963 9269910.885698969, 702476.7320525667 9269864.839792369, 702477.3346844354 9269800.12458921, 702478.9252427827 9269772.49046461, 702479.7010010194 9269754.868779086, 702487.4097627151 9269556.387986114, 702489.8334989996 9269511.729203582, 702492.1235563916 9269460.799799569, 702497.4291018022 9269297.60971852, 702497.3755465231 9269283.05474242, 702500.9123414962 9269189.251551367, 702504.2866178849 9269099.386369621, 702508.6266664786 9268989.476609526, 702509.6880851559 9268962.353180073, 702511.1580775387 9268902.014572423, 702530.6778526113 9268703.644987935, 702534.7376987282 9268661.866845777, 702544.6743034471 9268609.194907926, 702545.576554181 9268604.933419669, 702550.4794262545 9268581.854907837, 702560.4233564526 9268531.184820838, 702572.9180747768 9268488.446528122, 702594.587262527 9268414.352009596, 702638.8393803451 9268289.087263595, 702649.7025788105 9268259.826226166, 702701.518543152 9268125.419868428, 702704.879745526 9268119.180587836, 702707.3625641118 9268108.675318457, 702721.5610720438 9268069.182332959, 702731.6133941942 9268047.98711605, 702732.8523703134 9268045.073716648, 702734.9575274775 9268040.122047598, 702744.8346806195 9268016.416810388, 702744.9114023473 9268016.228504168, 702744.9881240743 9268016.040197948, 702751.6867858453 9268000.133055298, 702757.5428519762 9267986.662260642, 702760.8865675586 9267978.686588062, 702769.2423583945 9267956.303116944, 702788.4642111454 9267905.488036666, 702805.9924261513 9267854.269965546, 702822.4158945847 9267818.36325662, 702825.2463718515 9267812.170159535, 702844.4988918704 9267769.694296746, 702887.5379470919 9267654.741594858, 702914.6754400113 9267582.263417548, 702958.0228062649 9267470.041298855, 702959.6111897626 9267465.921033561, 702986.7236405251 9267395.71019588, 702997.3833531063 9267368.3742057, 702998.2598718924 9267366.147864146, 703008.1046887981 9267342.752313107, 703013.3121791726 9267330.38986954, 703031.7054940003 9267285.959368316, 703035.9413533005 9267274.031861704, 703042.5632859066 9267255.38198426, 703079.4156074256 9267169.374206606, 703084.3935960184 9267157.764689641, 703129.5452280851 9267037.251453072, 703136.192557149 9267019.50838876, 703142.8823562443 9267001.289576119, 703155.428605689 9266972.763079721, 703192.2450283819 9266889.133192988, 703207.1286635827 9266855.698336294, 703208.9822556219 9266851.532829229, 703293.685979999 9266675.615875121, 703295.2224497801 9266672.424836172, 703356.3851587131 9266557.437190758, 703391.3177456689 9266499.816568634, 703425.9974898056 9266442.628189588, 703474.6587568821 9266368.299814008, 703502.6562650762 9266325.392781181, 703525.0014811519 9266291.155813199, 703535.9087319546 9266277.035631372, 703546.7979755511 9266261.046333082, 703546.8200115232 9266261.024130773, 703546.5435349091 9266261.025157617, 703557.7304213084 9266244.78036443, 703568.6440284012 9266229.399280481, 703584.5949361082 9266209.509023473, 703601.3813113151 9266185.291101588, 703637.8811243977 9266135.893170819, 703709.6810234002 9266038.69431433, 703719.7567672343 9266024.0462672, 703761.2761335094 9265965.438459732, 703764.6075160298 9265960.183511399, 703804.911848104 9265925.77998902, 703881.2400910098 9265827.159237888, 703923.2325013466 9265773.913677044, 703962.3049893406 9265729.51608251, 704015.0137896733 9265661.498220863, 704017.3581420201 9265658.481095051, 704058.9016911534 9265603.566925945, 704097.2722934817 9265551.91624762, 704144.0212444349 9265481.299096623, 704179.1398883122 9265426.57462294, 704196.7049602633 9265394.832479797, 704210.9433344041 9265372.548211128, 704237.5782380447 9265326.371724674, 704240.2426489913 9265320.223328797, 704289.0895944583 9265207.381021628, 704337.037504684 9265049.316467341, 704367.2309089913 9264928.547040626, 704374.3374131997 9264850.40168804, 704377.8851171031 9264793.571738258, 704378.4887774864 9264780.50728342, 704379.4105440881 9264760.8275879, 704380.0453113627 9264747.210002061, 704381.4371729388 9264717.198240537, 704384.5007998223 9264655.13857591, 704381.8017863379 9264586.917746602, 704376.9944999279 9264513.849331742, 704376.0352390909 9264508.698823294, 704371.6677679234 9264485.245218236, 704363.4293775088 9264441.001682704, 704353.0240520649 9264385.086586135, 704349.8157327462 9264372.921203623, 704341.5365970023 9264341.441396091, 704338.3281975342 9264329.253893858, 704330.5875770675 9264299.82928788, 704326.7509613482 9264285.25511284, 704320.7492543575 9264262.460179105, 704299.0981011656 9264180.186232956, 704281.9791440899 9264115.138333961, 704279.1836723827 9264106.908872735, 704265.8439425619 9264067.705793845, 704259.4970858115 9264044.281719474, 704240.6742991147 9263981.972089265, 704239.2522378238 9263977.265725018, 704230.2383977511 9263947.436659265, 704228.2900075761 9263940.97367791, 704223.2400072048 9263924.25834974, 704221.5492328117 9263918.66816776, 704221.1461192485 9263917.331380624, 704218.929139578 9263910.017761854, 704215.8554364606 9263901.313750358, 704215.4195193049 9263900.076628417, 704211.1723403998 9263888.081039935, 704203.3581049191 9263871.486648975, 704191.4026159869 9263847.563712517, 704175.0461180131 9263814.86430484, 704152.2575831229 9263771.438348422, 704134.0469379117 9263736.766081514, 704129.5108726703 9263727.359679222, 704121.453096235 9263710.688777257, 704113.0609620337 9263693.32232761, 704109.1790531145 9263684.366951883, 704094.0195010041 9263649.384654755, 704083.2414647848 9263620.922605952, 704068.15213595 9263581.051406506, 704043.2559369041 9263518.08982588, 704037.7323019814 9263501.86292674, 704028.6195738794 9263475.131121028, 704014.7955077328 9263448.306319635, 704012.0217663205 9263442.919272177, 703995.4263232623 9263396.53920696, 703993.2174423931 9263385.465069443, 703986.2749224766 9263350.573737077, 703985.1671991326 9263341.198766772, 703984.9727569604 9263339.474091124, 703981.7525434886 9263312.26679827, 703979.3197929536 9263291.593183082, 703979.8310308477 9263283.395611757, 703980.5401858399 9263271.934520744, 703982.7205398158 9263236.90955344, 703987.0793198247 9263213.688812641, 703992.3162592147 9263185.76417218, 703993.3787392168 9263180.075220838, 703997.8297357871 9263163.777862014, 704004.0369528909 9263141.003677046, 704007.0854823156 9263128.195544496, 704017.3525027212 9263085.066333774, 704026.1749125185 9263054.860918371, 704032.2774133794 9263027.751486253, 704039.3588669349 9262996.28064192, 704044.107543504 9262976.796797434, 704049.3246534573 9262955.419892192, 704052.7302877904 9262943.484176524, 704067.0844494804 9262893.26106801, 704069.2230605888 9262885.544054372, 704069.4086538673 9262884.901863988, 704075.9665030817 9262861.285758367, 704081.820164873 9262838.623468712, 704097.4406072095 9262778.098476687, 704105.7342357498 9262745.51703709, 704110.616744001 9262726.353419524, 704122.2825074074 9262684.723101731, 704122.347905524 9262684.468470478, 704124.4867412709 9262676.817810435, 704134.0511443088 9262629.222796554, 704150.6428050966 9262565.27648794, 704155.0089180379 9262547.021732872, 704161.3783288581 9262520.364719573, 704161.8979475365 9262517.376497092, 704169.1907803183 9262474.49058463, 704177.1975798294 9262433.27209653, 704187.8485650112 9262374.667989181, 704196.0450050526 9262333.902250113, 704203.8336928189 9262278.759659098, 704206.8342651592 9262259.094285619, 704212.1454995379 9262230.428239128, 704218.4979487197 9262187.468395228, 704225.8160622186 9262148.420270804, 704233.1376435229 9262098.49986352, 704235.6804974412 9262083.592121819, 704236.5798444127 9262078.655861448, 704242.4102076576 9262046.890973449, 704258.7425945728 9261969.960721444, 704265.9955988433 9261934.219843853, 704249.669515193 9261844.69268678, 704246.5983994013 9261827.826195886, 704254.0980663707 9261804.792666372, 704263.2918525116 9261779.396938335, 704270.7861912732 9261754.947704623, 704279.1164035791 9261726.336662004, 704282.4416520213 9261713.660152635, 704298.2689089151 9261658.387789547, 704293.1931873867 9261655.453731114, 704272.0842597813 9261649.936403044, 704244.8401532624 9261642.05305459, 704245.2116510947 9261640.857149672, 704239.3825033808 9261640.480840756, 704239.2174189743 9261640.691605443, 704173.9639041336 9261617.532717854, 704167.3409243354 9261614.836717734, 704151.7358896954 9261608.469193991, 704133.0408254352 9261600.830256868, 704085.4184759548 9261593.520940732, 704049.0892792622 9261581.004119067, 704044.2445685654 </t>
  </si>
  <si>
    <t>Bekasi City</t>
  </si>
  <si>
    <t>POLYGON ((718862.6726868632 9317359.516186565, 718999.158678798 9317354.407910442, 719226.1521742475 9317345.909943892, 719363.5570561329 9317340.76420483, 719399.6405179608 9317339.413201159, 719588.9126570371 9317329.328688921, 719673.2279845467 9317324.84452862, 719981.5280356837 9317330.076901834, 720210.4175316971 9317333.9673841, 720326.4896517512 9317331.45415675, 720352.30673319 9317331.855393354, 720355.7272368802 9317331.809423016, 720389.0285904217 9317332.437066928, 720402.1697088322 9317332.664455969, 720415.8615718223 9317335.113046732, 720451.2019204192 9317342.21478794, 720457.0630391521 9317343.55337217, 720558.1807751941 9317329.536851367, 720600.9558500956 9317323.613980839, 720767.3733560331 9317279.20025637, 720779.3805103446 9317307.692757206, 720809.2008510369 9317306.972692331, 720855.3924827036 9317294.03518447, 720888.2414530639 9317292.087013464, 720915.649158621 9317297.448447958, 720946.6829887818 9317298.548836015, 720985.4023642291 9317297.452427289, 721107.4238752138 9317337.40084736, 721112.356474054 9317339.096808137, 721119.8606421957 9317341.668006457, 721143.7884698546 9317340.084996745, 721144.3750160884 9317340.03855192, 721145.183461144 9317340.12400728, 721155.4605275105 9317341.169432916, 721165.986810563 9317340.77598381, 721180.8779703772 9317341.23997812, 721182.9814033562 9317341.265268361, 721191.8495761597 9317338.566274378, 721229.8506769934 9317337.79317878, 721239.9818874104 9317338.3192674, 721282.4959406678 9317339.509129772, 721288.1239938647 9317337.729291163, 721292.347811537 9317336.39716662, 721300.7847502731 9317333.832506219, 721302.3230719982 9317333.716119928, 721302.8985485042 9317333.669715028, 721312.6042004885 9317332.89218263, 721333.1781514273 9317331.41017455, 721398.8457709802 9317328.232369218, 721408.0213097209 9317327.788643906, 721421.5354798501 9317327.107397474, 721454.4619605718 9317325.136498138, 721477.2614188495 9317323.756687058, 721497.531197072 9317323.81325261, 721580.3062153792 9317324.608246574, 721618.3117506516 9317324.996294117, 721626.2710049149 9317324.933184337, 721633.5107466332 9317324.883840054, 721661.3849741553 9317324.723716592, 721668.989904774 9317324.639811324, 721727.263974221 9317324.74139963, 721750.3286013162 9317323.216689244, 721755.4528396114 9317322.876639066, 721765.2586382519 9317322.231386155, 721809.2078077139 9317328.204926217, 721839.5032925616 9317330.148278136, 721854.8168807302 9317331.064018771, 721868.3364508275 9317331.809530808, 721880.6512254573 9317338.930771641, 721892.6906440676 9317334.660108387, 721923.5906428748 9317323.681769561, 721927.8691024262 9317322.161349969, 721934.7214859353 9317322.135549251, 721939.2491514356 9317322.118501166, 721996.7693320703 9317321.9018893, 722031.7508209995 9317321.770127106, 722066.6880361988 9317321.638510946, 722107.6584608217 9317321.484139968, 722185.9019234079 9317321.1892501, 722236.4258747724 9317320.998776406, 722451.8945208264 9317320.185980061, 722498.5218628069 9317320.009987494, 722498.5203179264 9317319.600731023, 722497.1837151132 9317296.908310669, 722497.4370534301 9317284.83964702, 722498.8248416907 9317218.456485868, 722498.9737716132 9317213.920854693, 722501.1320066134 9317149.293503515, 722501.5596147839 9317136.472022912, 722503.0219431526 9317081.050168127, 722503.2082966007 9317080.562774055, 722506.5948657 9317071.524091331, 722511.7678515076 9317057.711308131, 722507.806018884 9317058.058104329, 722422.6376554555 9317065.503051765, 722420.3468611952 9317065.699738784, 722361.5501749465 9317070.843868634, 722230.2848610714 9317078.130638374, 722231.5930736302 9316975.920882007, 722232.23380588 9316925.67882031, 722232.8665409045 9316876.255311038, 722234.3900652156 9316757.795933062, 722234.6541810532 9316736.845157621, 722082.9710628074 9316733.922042416, 722083.8970937314 9316688.866608052, 722085.9742852426 9316588.014538322, 722088.2854313431 9316475.834991721, 722091.4848218687 9316320.369915443, 722093.1777933144 9316238.035592893, 722082.9772691124 9316213.241869824, 722068.381824205 9316194.282883272, 722047.9689148344 9316182.613004822, 722048.8104700933 9316170.940347485, 722053.7441048509 9316102.51976017, 722059.6345819475 9316020.72265965, 722136.9324269921 9315940.503139459, 722117.5102166664 9315763.189210722, 722113.6007623518 9315727.553968351, 722103.3946101273 9315710.060634367, 722093.1839968265 9315629.8396782, 722085.4403216883 9315566.765212344, 722082.9734143845 9315546.69859001, 722078.6017550749 9315491.276748307, 722077.1410884548 9315459.193943996, 722042.2530044796 9315407.57074973, 722040.6722439267 9315405.231763417, 722021.7205705218 9315405.225926835, 721998.37964859 9315409.605804982, 721996.9189317436 9315380.432087483, 721990.652987344 9315251.383545788, 721990.5454625888 9315249.293400273, 721984.0700779571 9315114.637664279, 721978.639983157 9315001.757326802, 721971.5324117301 9314910.751166048, 721961.6427751421 9314751.453106223, 721960.6928174037 9314722.708845137, 722000.3349571364 9314708.422862798, 722047.5716664013 9314694.329349233, 722080.4690012595 9314685.02419261, 722113.386564636 9314678.141325116, 722148.8294597676 9314671.63602137, 722190.1981069375 9314666.037403947, 722212.272964006 9314663.575715736, 722230.7184571911 9314661.514896067, 722267.8507720587 9314653.885943241, 722291.0453642656 9314654.793631844, 722305.8588851988 9314655.36802863, 722338.1073651728 9314658.885030037, 722375.9816478104 9314663.022253668, 722411.460724375 9314663.142270062, 722545.9605841723 9314652.002836263, 722555.7874730508 9314651.191305418, 722556.3524430456 9314651.299775362, 722621.9676498973 9314664.191670926, 722656.7021761488 9314768.632194448, 722699.8297695015 9314756.854425302, 722744.6429778348 9314751.706925862, 722768.6652911651 9314763.595043251, 722777.9148831908 9314768.17246062, 722796.3812520062 9314821.19602357, 722817.9985822609 9314829.409886617, 722871.1015288812 9314820.912499487, 722912.5860893214 9314810.799985515, 722955.7389236366 9314805.65863538, 723003.7597019103 9314770.633567283, 723007.4706977415 9314713.0238844, 723007.4426348221 9314705.635119392, 723008.4949861772 9314691.251581818, 723028.3657489455 9314676.796563556, 723048.2323008644 9314661.235432528, 723056.7583335545 9314647.265944142, 723054.7354159809 9314624.708805664, 723050.2403184623 9314607.027982999, 723068.9368284963 9314574.879496457, 723089.8472409217 9314542.722583245, 723099.6123252449 9314490.697871393, 723102.865944801 9314472.987597896, 723114.6189865168 9314460.53226534, 723123.8141315464 9314450.785583775, 723167.9832614923 9314421.85854953, 723183.4428687724 9314411.844686667, 723195.530772612 9314388.481713504, 723231.5995715559 9314357.384231703, 723234.1527379439 9314356.34582818, 723236.5867089382 9314353.073515413, 723243.7895406988 9314343.400748478, 723250.6729924269 9314334.160581721, 723262.765392788 9314311.992172817, 723267.1347724644 9314308.24792353, 723284.8330465284 9314293.104163215, 723297.49477264 9314283.830938052, 723309.2316251404 9314304.95742083, 723378.6707836047 9314330.742280943, 723478.1555586803 9314391.974479396, 723459.7176470195 9314433.822890982, 723469.8490249531 9314478.095542757, 723480.5769953756 9314524.965311317, 723487.6350751012 9314555.777108302, 723495.7489126441 9314593.487085806, 723501.4960965794 9314620.166981297, 723510.409950305 9314661.568362534, 723523.0739087051 9314655.768318113, 723547.7947348701 9314653.351341672, 723548.6145298764 9314656.423239045, 723580.202312079 9314654.964550529, 723595.1671605788 9314648.735399278, 723602.8485013379 9314645.531574473, 723608.7725842751 9314643.075543113, 723631.7724916572 9314633.508470966, 723640.9067459968 9314622.312901411, 723644.8514053578 9314617.497303246, 723692.7959282113 9314600.33565845, 723714.6401148606 9314592.509560464, 723725.7009866518 9314590.15561224, 723791.0490244786 9314576.356526557, 723808.0274945176 9314572.75220469, 723817.3124924311 9314574.973297523, 723832.9906888223 9314578.740708807, 723878.623537281 9314570.801710522, 723916.3151337634 9314596.596567642, 723957.7946205012 9314590.985150512, 723989.7257712076 9314586.671115695, 724039.3204930219 9314604.533827178, 724101.3585433661 9314587.793654999, 724115.8451615742 9314583.889036281, 724118.7215772095 9314592.129750866, 724130.4569497599 9314589.574043598, 724206.8597980452 9314563.122420885, 724212.0079247045 9314574.883000586, 724222.2891908662 9314577.089168327, 724231.8363942809 9314566.798912995, 724278.1243757395 9314553.58085844, 724274.7001503746 9314541.039405953, 724340.874027883 9314523.188069275, 724374.9604936372 9314558.553404814, 724381.1399461881 9314564.989567658, 724392.142079511 9314587.811161675, 724397.9888647133 9314582.51258664, 724411.8116152857 9314570.004755639, 724435.121586526 9314548.89922246, 724469.1299922498 9314526.193125116, 724496.0751508375 9314506.212965209, 724500.2500544864 9314500.832278034, 724509.0846419953 9314489.471738737, 724508.778950081 9314496.375146002, 724588.1582226665 9314469.601830244, 724556.797793937 9314255.65281754, 724588.672735895 9314447.84231589, 724591.2902779811 9314463.627813818, 724608.417890522 9314472.964366876, 724630.4617338052 9314482.613941342, 724669.8540113937 9314478.304131301, 724694.5889060936 9314476.6608691, 724702.1232958664 9314472.67208424, 724777.909901038 9314467.459630668, 724835.7890438867 9314466.076515062, 724849.5668068877 9314459.187853683, 724855.0811284102 9314450.914998854, 724877.1280979121 9314444.027833154, 724896.4249488881 9314433.003206506, 724973.8476789002 9314115.3796655, 725003.9051853755 9313992.041381394, 724925.6885711822 9313885.931599418, 725068.5594520987 9313731.277206283, 725085.4149268158 9313666.857753688, 725086.2877539195 9313663.536007194, 725070.9957542446 9313650.785710745, 725055.6968441705 9313618.93254552, 725051.8759188548 9313589.612603357, 725049.3244538611 9313556.482695293, 725040.4055381485 9313516.972732864, 725014.7615521415 9313486.442404427, 725013.6495011202 9313485.119315973, 724983.0633441048 9313453.258476492, 724967.4640883503 9313438.30815613, 724952.4759153953 9313423.941738069, 724888.1570149756 9313362.33375564, 724873.3800511037 9313348.187745389, 724861.4697326035 9313325.28124079, 724858.019293312 9313305.948258316, 724857.9360967721 9313284.268418929, 724868.9018311641 9313251.418501882, 724869.6240974712 9313249.247713823, 724879.8225853257 9313238.578655474, 724909.9990415246 9313207.004461778, 724919.9586004 9313194.654989604, 724941.1005993291 9313168.435940847, 724942.0903976483 9313166.750821069, 724962.9079958326 9313131.009213077, 724985.5834515739 9313094.79587802, 724991.9355743604 9313085.668018444, 725009.9352088235 9313059.837075107, 725023.1505611609 9313021.912359297, 725034.9972092998 9312987.897538457, 725039.8505991475 9312931.554658454, 725037.9784084877 9312885.093254846, 725024.3413975781 9312853.598781222, 725006.2346921158 9312828.492803114, 724980.2498256498 9312807.144758755, 724974.905524362 9312804.864539688, 724941.34297722 9312790.56953455, 724892.2725923895 9312770.670692874, 724853.3595218409 9312752.458376722, 724811.0145216087 9312722.611666933, 724803.094775232 9312715.540720288, 724762.7185406577 9312679.492103292, 724733.8720033291 9312647.956468096, 724728.8928526805 9312636.980650792, 724721.1003148473 9312619.788122447, 724719.6629681026 9312614.462093981, 724710.8252598854 9312581.643962858, 724706.412085135 9312533.555315766, 724707.921046186 9312485.454993412, 724722.571001234 9312431.983723572, 724753.9751971863 9312382.994286733, 724782.7406060712 9312330.03288255, 724806.0279562591 9312303.363097282, 724820.7058542937 9312286.017876904, 724853.1139201067 9312247.698637338, 724859.4300632775 9312240.761043431, 724910.0806176168 9312185.182353336, 724911.1388476673 9312184.027908232, 724929.6096247179 9312154.157710195, 724947.1481917795 9312106.404937224, 724950.878605957 9312071.868223537, 724951.2312149614 9312068.570595194, 724949.3846759241 9312028.812265487, 724927.3038381811 9311994.972135836, 724889.2378394876 9311981.037474817, 724845.2336355085 9311957.159385998, 724836.2080091694 9311950.347136695, 724821.5205685933 9311939.264866032, 724799.413417202 9311901.431691801, 724789.9119674909 9311845.708169902, 724783.7256456122 9311774.109991599, 724780.1503725107 9311722.323637994, 724778.2809554929 9311711.14784476, 724775.8225853235 9311696.50106592, 724759.6758454145 9311668.6112299, 724735.9706008986 9311652.718786594, 724716.4944272673 9311648.490815874, 724716.4605818619 9311648.325026434, 724712.2039246117 9311620.842991108, 724705.2502744579 9311571.348271238, 724702.1212433474 9311549.248756954, 724700.9150812003 9311540.71406858, 724694.8455642194 9311499.489807101, 724685.397817927 9311460.601409677, 724675.929332999 9311413.439240433, 724669.0457411614 9311379.286286386, 724661.3323273731 9311350.987952761, 724656.1426021303 9311319.78185554, 724652.7107611538 9311305.29368638, 724651.7467379011 9311302.155983875, 724651.2760080681 9311300.642395746, 724651.2198969035 9311300.443508094, 724651.0069466905 9311299.758526292, 724670.3822361317 9311289.297458755, 724742.0802349506 9311266.865896739, 724749.9242381528 9311265.7959579, 724801.1701716796 9311258.785020832, 724824.8245784715 9311261.49250562, 724861.9561990969 9311254.226110632, 724873.9087635325 9311253.638098747, 724879.6858656423 9311253.361450553, 724915.9941181161 9311250.743940055, 724933.7471694342 9311255.951836735, 724970.946863261 9311266.361095278, 724983.4423411889 9311268.779650211, 725015.7334853275 9311275.048730921, 725039.3985800402 9311277.64548002, 725039.5879057491 9311277.943406511, 725044.9786872048 9311286.572597396, 725052.9978931223 9311299.372844446, 725074.7095609382 9311303.4814482, 725150.5232295023 9311317.834535219, 725150.7780330941 9311317.888859954, 725151.0327940623 9311317.932123523, 725185.6301718905 9311313.683970788, 725212.5856154301 9311294.012568481, 725230.2270953569 9311270.2622388, 725241.9724785247 9311250.383977719, 725251.2024477059 9311232.683432925, 725254.5050898561 9311213.623073513, 725256.0778093433 9311185.145123357, 725255.9748830313 9311158.45450982, 725258.4608712755 9311145.77968978, 725263.0530210537 9311139.622936826, 725268.5481452678 9311132.24595331, 725275.9084492472 9311129.175697727, 725288.7835413856 9311123.827656621, 725309.0163308043 9311114.734619161, 725322.504035359 9311107.503777046, 725346.0882742637 9311092.015397837, 725360.4089013035 9311082.62436761, 725370.0757854849 9311074.899430877, 725373.8719095616 9311071.865034778, 725385.5893783951 9311059.121390933, 725385.6444678548 9311059.05481025, 725399.9526591301 9311046.444961125, 725419.2922437611 9311023.904717041, 725436.961691161 9311004.578700485, 725446.3850604111 9310988.260013377, 725500.0776126435 9310912.570019241, 725525.1464263003 9310877.386576906, 725527.2227616154 9310873.307977607, 725544.4159478015 9310839.6039749, 725559.4348711333 9310793.232042901, 725568.3707533869 9310699.474614423, 725571.6713717724 9310679.938558677, 725575.0230256176 9310673.609569326, 725697.4336206813 9310663.9996894, 725739.6380492116 9310657.619991977, 725796.1688012248 9310643.364450177, 725819.0760275866 9310641.793604646, 725844.3182291549 9310640.058855677, 725858.6490305217 9310639.063185934, 725911.8463680615 9310638.702450156, 725965.8686755928 9310631.27024677, 725994.5456996681 9310621.823406618, 725980.7708411634 9310551.99090218, 725976.4639954749 9310531.74311916, 725972.175996511 9310516.362273594, 725967.8888307888 9310498.337753901, 725967.71857311 9310494.389498396, 725967.4487550807 9310487.598852228, 725966.0317484827 9310453.258735914, 725956.5688897516 9310410.720107075, 725946.3049011268 9310375.684202189, 725957.7229680702 9310271.41960448, 725958.7418905888 9310260.133043755, 725962.5854065516 9310217.918965798, 725963.9405620235 9310196.277643494, 725964.1695963673 9310192.538007451, 725934.2801641279 9310106.109511055, 725930.2188930342 9310094.964306226, 725925.7437862008 9310082.714566234, 725936.6085387501 9310052.817796247, 725939.8116905034 9310008.183754893, 725948.1130332181 9309970.918962425, 725949.7779394694 9309966.377342388, 725955.5996418763 9309943.358158866, 725954.6478105579 9309914.823467836, 725928.5112125091 9309859.916477771, 725923.9914790837 9309850.432262067, 725912.0603585402 9309822.21665704, 725907.1876806072 9309784.494093627, 725905.9778982667 9309775.085543225, 725908.3808095178 9309743.90524767, 725909.6176717408 9309737.451666513, 725919.9670692364 9309683.144395422, 725924.0713022237 9309651.116834335, 725921.3379612716 9309599.90214838, 725921.2306660056 9309597.9225761, 725919.6268097872 9309569.666950706, 725916.8843640198 9309538.949050372, 725915.9562021479 9309519.385055766, 725914.3984816761 9309503.03130413, 725914.225415878 9309501.217907699, 725907.1520206197 9309426.912814634, 725905.9941624167 9309359.531337192, 725905.1459968507 9309343.47349266, 725903.3301791088 9309311.94452058, 725902.4414652057 9309299.703011846, 725894.3022784188 9309244.57144099, 725878.3589497606 9309186.450380718, 725877.5714797699 9309183.190325886, 725877.3351315407 9309182.184656393, 725873.2057948725 9309164.90066375, 725873.1374583652 9309147.280141773, 725835.1221570331 9309146.11125888, 725768.3960930307 9309142.62015268, 725725.2954241736 9309134.513307573, 725669.3610283518 9309110.870691113, 725618.6590063075 9309074.9517667, 725594.9469032566 9309057.16845895, 725584.7736205148 9309045.493881032, 725581.3555182446 9309037.48763081, 725565.5909849968 9309042.581620703, 725563.6452854146 9309043.208594056, 725518.0978558593 9309054.933070682, 725479.2870006559 9309065.525286049, 725472.991093651 9309068.978685232, 725460.1993780882 9309078.5741652, 725450.6635178305 9309085.72353738, 725429.3502320696 9309089.98723868, 725422.9550224359 9309096.383336095, 725394.6785086425 9309100.419564588, 725376.0449568671 9309096.376855861, 725352.6012239265 9309087.850785276, 725322.7512163525 9309085.72083353, 725303.5603673833 9309092.122175641, 725282.2442328911 9309098.509608876, 725248.2357391579 9309100.123378564, 725222.538617991 9309098.519317819, 725199.2920780223 9309092.315312268, 725190.5607648893 9309089.981948476, 725171.3729600381 9309085.720096549, 725167.1170858844 9309081.455812909, 725162.8503755 9309068.663276836, 725158.5810833033 9309049.47729577, 725152.1922269692 9309026.029833073, 725147.9200800114 9309008.967641566, 725130.8634050511 9308991.910636919, 725109.5506419954 9308979.11763928, 725083.9676678709 9308981.251826784, 725073.3083363592 9308981.248786027, 725057.0260624697 9308981.25641616, 725051.9786493188 9308981.253802625, 725045.5898380678 9308957.806344047, 725041.3262177575 9308934.350671986, 725032.8008675986 9308919.428700252, 725024.2698432025 9308908.76536392, 725002.9430068752 9308906.63552319, 724983.7609297553 9308898.103937747, 724968.8321371094 9308887.443198293, 724960.3098827344 9308861.858090358, 724949.6487691224 9308829.876738861, 724939.8815434005 9308820.114143783, 724932.5922490015 9308812.830772141, 724913.4076509915 9308797.905739557, 724892.1372411516 9308790.311359985, 724883.5580947205 9308787.236272212, 724853.7057743017 9308778.712700546, 724821.7225550971 9308774.444894193, 724794.0065510471 9308765.924107041, 724762.0287716005 9308765.925919285, 724747.7832163566 9308765.925618289, 724734.3124670733 9308765.922322378, 724710.8633326545 9308761.654694328, 724681.0139065797 9308750.996202262, 724661.8265866006 9308738.205958046, 724655.4265403108 9308723.27576792, 724634.1086501972 9308706.2240773, 724630.9253622266 9308698.792101672, 724627.7197241152 9308691.304905826, 724623.4559746109 9308676.377532586, 724621.3228526283 9308665.722663162, 724617.0508652816 9308648.6604896, 724617.0539853573 9308637.997375553, 724602.1282137157 9308625.212802254, 724578.6775080313 9308588.9669104, 724577.0298870357 9308554.9708114, 724597.7566522199 9308545.068373485, 724612.1975963652 9308538.353724508, 724603.1617413647 9308525.911446664, 724592.8357820724 9308477.469590038, 724585.963631268 9308446.325350987, 724576.2447396821 9308423.244733952, 724572.3237226249 9308413.946248654, 724572.0235051138 9308413.59344569, 724556.2127089249 9308395.182093076, 724538.0109101627 9308385.330356928, 724536.7466613599 9308384.70474209, 724521.5331731408 9308383.39185704, 724508.0738883712 9308394.936494334, 724496.2872874658 9308403.952695161, 724472.7227240766 9308427.09537375, 724455.8777370304 9308436.120017411, 724442.9611968782 9308436.29152185, 724438.3376539224 9308437.116832927, 724433.8859341047 9308433.705003422, 724348.0044216076 9308367.86757978, 724322.8415786122 9308349.691360433, 724287.4393359346 9308337.029954288, 724266.1026729678 9308326.526563514, 724263.0196947724 9308325.000930222, 724262.897727751 9308324.946093997, 724239.0393036993 9308317.803988291, 724224.8545379969 9308313.434153091, 724183.388749706 9308289.81221636, 724158.8831559184 9308275.571236812, 724138.4378142298 9308263.69278017, 724107.4647332 9308245.693751125, 724106.3664795354 9308245.056428563, 724064.2569374834 9308226.691024933, 724044.6941038737 9308216.899728293, 724016.7359096173 9308205.724921279, 723991.573270194 9308187.548613768, 723986.8527633725 9308183.308204425, 723977.6004698297 9308174.97045497, 723962.2231873928 9308151.214759072, 723952.4361612749 9308121.862654857, 723938.4648847472 9308095.30304421, 723934.1229117435 9308083.008572621, 723930.0719144564 9308071.542575873, 723923.0861418832 9308033.79524594, 723909.6404171642 9308002.864414012, 723879.7586380902 9307977.892530331, 723854.5907696031 9307958.322509069, 723830.4938887618 9307949.555213058, 723823.843420301 9307947.136277627, 723794.4970468682 9307928.964985218, 723777.7192235556 9307909.395831842, 723769.3887330726 9307878.84351503, 723749.7686347482 9307831.123337602, 723727.8742649439 9307799.29588278, 723719.0140550686 9307786.399376152, 723710.1647881398 9307767.717790209, 723707.3100366192 9307759.333284358, 723702.0705157985 9307743.889814764, 723693.2934556722 9307718.08450339, 723657.1996646258 9307611.858399851, 723639.8353322217 9307566.408175372, 723617.1152618274 9307506.941838313, 723590.2430260241 9307438.454445126, 723588.112332366 9307431.261771629, 723587.0343209173 9307427.250686767, 723583.8222958659 9307415.184163872, 723582.8915783983 9307412.057412205, 723579.5503103348 9307400.920531966, 723578.7875335404 9307401.166815164, 723570.6662894365 9307364.563213274, 723559.9136045948 9307334.451632798, 723547.0052920732 9307310.797057671, 723521.207844004 9307282.84501629, 723501.8522421864 9307254.89030463, 723486.7994881435 9307229.087038655, 723248.671802242 9307315.074803151, 723248.6165459042 9307315.097137988, 723239.6969543964 9307301.105781302, 723214.2074650928 9307261.07360892, 723170.039643526 9307193.570763282, 723165.7858159007 9307186.884007523, 723156.4414144169 9307171.788160332, 723140.3158360512 9307151.90673812, 723135.2298989049 9307144.703302076, 723129.2656377411 9307133.598629197, 723117.359639704 9307111.488748144, 723103.7086765316 9307073.092392672, 723090.8426613889 9307022.934945337, 723088.5786984647 9307009.847158825, 723087.3902284686 9307003.004829729, 723089.0297703497 9306988.972901551, 723103.9815231238 9306925.191745764, 723105.6512779065 9306919.024227697, 723124.4897560481 9306849.951910285, 723124.4897135298 9306849.94084923, 723139.7968089078 9306795.12894416, 723158.5725837273 9306738.567074502, 723162.3352853787 9306726.916195724, 723164.8128030117 9306714.938421436, 723165.6447617591 9306709.65901697, 723165.6236643791 9306704.17272954, 723145.1270955827 9306644.233334115, 723118.1388070385 9306594.318254052, 723107.7046524092 9306575.012294928, 723099.2065535464 9306561.229503311, 723088.9785024197 9306537.951773036, 723086.4123038726 9306529.743151778, 723084.708855448 9306524.263335247, 723084.6025686127 9306496.621748365, 723086.2680777443 9306492.235099776, 723094.645922035 9306474.748273183, 723108.945058262 9306460.081405956, 723124.9644016844 9306455.25240714, 723140.1546147163 9306450.681000479, 723148.5930664106 9306448.956173906, 723167.1516873474 9306442.4582094, 723195.8037822754 9306430.003645746, 723214.0911048474 9306416.28372247, 723225.2820215282 9306407.889429465, 723239.5711946918 9306390.6452848, 723244.5741860383 9306373.425812984, 723235.171244839 9306345.985899452, 723223.8290108608 9306323.685862388, 723219.1114114284 9306314.401522499, 723215.6094286421 9306307.501730327, 723208.7898336046 9306292.716986977, 723208.7644198555 9306286.113529705, 723209.5511891713 9306271.974248072, 723213.6653123229 9306242.369619213, 723215.8723634799 9306226.278093204, 723220.232735454 9306194.515573116, 723216.2371934659 9306171.534651252, 723212.468249849 9306149.913389215, 723199.5893017625 9306096.437665269, 723173.9367264324 9306011.088406105, 723164.185138447 9305982.200828407, 723151.7241857187 9305945.293229192, 723139.8057119413 9305919.920405041, 723119.365812666 9305874.692296194, 723118.7847846692 9305873.267634423, 723116.8070590023 9305868.419368526, 723105.9785048557 9305841.526963115, 723105.721429196 9305840.875340292, 723103.1720444326 9305837.035846693, 723108.2353044446 9305835.489907354, 723130.1602861864 9305826.600768417, 723167.2592421921 9305811.846047902, 723171.4677950451 9305809.661841433, 723177.5900434906 9305807.193734713, 723222.8989876441 9305788.90094383, 723265.0907070346 9305783.141437262, 723314.0554368144 9305777.200942386, 723331.7782483534 9305775.0310138, 723476.8803803547 9305740.237105092, 723507.2568811506 9305733.05181787, 723517.3385254081 9305721.19951618, 723525.7555379694 9305713.944052393, 723530.8079922755 9305709.599613527, 723559.720521847 9305693.039993918, 723560.2947767365 9305692.705940805, 723587.2953491313 9305685.489379328, 723612.5896266242 9305674.938887447, 723620.9866885785 9305662.517872564, 723635.2136176485 9305629.234940866, 723639.7924183465 9305619.74882924, 723643.5917099001 9305611.902792152, 723667.0305006357 9305559.381933229, 723678.7822678365 9305532.911205681, 723682.941022547 9305523.57050374, 723687.1216124708 9305514.15228787, 723737.348422574 9305402.305900674, 723747.1600071118 9305389.337378759, 723752.4787300482 9305382.303988677, 723754.8509020103 9305377.505295541, 723755.828384911 9305375.54367486, 723757.5063102888 9305371.533013485, 723760.0148857948 9305367.6629395, 723811.491222042 9305393.081959035, 723876.7546154936 9305426.0910046, 723939.104355418 9305455.505286962, 723991.3689390086 9305495.80963684, 724024.0510519962 9305523.889539232, 724054.2840461915 9305528.274567276, 724060.4065959302 9305525.894834511, 724141.0529259634 9305518.293486383, 724216.7649696365 9305494.074926073, 724240.1131720645 9305506.926273957, 724245.8978729943 9305534.501822922, 724246.5689313199 9305536.302217163, 724265.0000743698 9305585.597454047, 724290.4535610552 9305633.350114051, 724326.4001508743 9305641.186157815, 724351.6272834588 9305630.458572874, 724380.9058027535 9305636.993045943, 724384.6491399782 9305571.849574728, 724386.6259910192 9305562.15221353, 724390.2680511314 9305562.315088887, 724390.7219251452 9305562.335453648, 724421.9615885911 9305563.696669426, 724481.0625564815 9305560.038702674, 724506.312372755 9305538.039461743, 724517.1289459399 9305495.964546012, 724526.3087245341 9305468.507965544, 724550.6850185603 9305441.036719361, 724583.4605811422 9305398.920886535, 724584.073783923 9305397.215065686, 724601.8453603177 9305347.69098986, 724627.6609866968 9305274.707816042, 724668.2266095185 9305249.264268504, 724669.2752340222 9305248.530152781, 724718.4068524454 9305214.348057589, 724760.9638923698 9305211.517113598, 724745.3534241898 9305179.013142752, 724781.0134953281 9305170.092026519, 724838.4064072336 9305162.745701157, 724898.6367534287 9305147.877643198, 724941.6947452866 9305137.246354863, 725028.2384100714 9305120.660955172, 725076.309607744 9305104.169674322, 725160.6486522496 9305078.522305578, 725251.7503994853 9305052.903784992, 725280.9527082909 9305042.702194547, 725287.9051171662 9305040.274824, 725351.2614444715 9305018.1267316, 725411.1248312567 9304994.321887508, 725448.1483414102 9304963.216922542, 725475.6001925636 9304912.813917357, 725485.0511517519 9304895.454982998, 725488.1514073388 9304887.235362502, 725505.098982017 9304842.370748574, 725507.4604015219 9304837.69364539, 725541.1351573688 9304770.961844161, 725585.5735238794 9304688.613605116, 725624.0900207714 9304606.188829366, 725653.5708937544 9304585.17889001, 725683.0528478508 9304567.288236855, 725697.3505194235 9304552.520808375, 725704.8504629086 9304525.91102, 725697.8875222425 9304474.558013776, 725699.4442668434 9304439.53156776, 725706.9121323866 9304407.546060488, 725725.1502448327 9304319.116460552, 725730.317418502 9304261.997365527, 725732.4286404513 9304238.605332272, 725732.1241258762 9304160.60155172, 725730.0974938652 9304072.416946514, 725730.8074357477 9304038.809649931, 725726.0087737503 9304014.53755943, 725718.7489591601 9303977.886315672, 725710.8990261209 9303911.991045695, 725711.0019287082 9303909.999592476, 725712.4653452933 9303882.285079002, 725713.2770348149 9303874.738036502, 725716.4767932252 9303829.683531262, 725719.701601176 9303788.21281843, 725727.6836407544 9303757.57475182, 725743.9498246347 9303728.30911548, 725784.3411967964 9303692.655265197, 725794.4476892712 9303684.54094815, 725793.5743815769 9303676.314677335, 725791.6920300412 9303627.961581064, 725773.6830230653 9303556.763347995, 725758.9705661713 9303465.309873665, 725754.6287041646 9303436.157928756, 725742.5874534838 9303379.670173187, 725729.7804684836 9303342.476496363, 725718.6370563401 9303300.4867333, 725713.499321744 9303263.09716271, 725706.4706560826 9303211.976727216, 725703.8683259203 9303194.631564682, 725701.194866013 9303159.090679258, 725690.9560389649 9303130.49274349, 725666.3289684511 9303096.199126601, 725634.1021096276 9303060.03265325, 725618.818484105 9303037.626696913, 725590.4647865953 9302913.518068084, 725565.4760502836 9302786.664142337, 725546.5779204317 9302703.136018032, 725535.3488335604 9302639.200829392, 725518.0785450143 9302541.740066763, 725510.3966437086 9302521.682615234, 725504.4389016978 9302506.673478628, 725496.8082898328 9302496.902919253, 725612.9714412899 9302481.980368506, 725636.0471139958 9302479.047324417, 725679.5328979198 9302371.802838014, 725814.2575829336 9302362.85773452, 725804.7819858514 9302283.285877498, 725799.9725123779 9302276.0705496, 725790.363010922 9302264.051243713, 725783.150758467 9302242.421248566, 725780.7512697839 9302223.194856433, 725783.1550975043 9302203.960716354, 725802.378411643 9302189.5387867, 725804.782738149 9302153.480236879, 725799.9749798453 9302143.875641046, 725622.1096843735 9302172.7121981, 725612.4870073928 9302035.710198542, 725602.8819974686 9302033.303222978, 725586.0564943952 9302021.278966825, 725569.2260632082 9302016.477818467, 725559.5942805061 9302010.055655787, 725547.587844311 9302002.049943654, 725521.153005483 9301978.017420623, 725501.9248197457 9301951.578497367, 725487.4972061043 9301913.11918249, 725470.6723471661 9301884.270535203, 725446.6414699327 9301841.003906423, 725432.2183467614 9301812.167986866, 725463.4597647728 9301783.31932863, 725451.4432334444 9301747.261972478, 725446.6344534577 9301723.23332894, 725434.6200926891 9301716.013006603, 725412.9914460625 9301703.99647233, 725411.4794080701 9301702.243627543, 725398.5600139293 9301687.173257317, 725376.9363771871 9301667.944672931, 725367.3132562664 9301643.91274572, 725357.705564734 9301629.482040033, 725355.2973796766 9301591.031029588, 725355.2962887952 9301576.606989443, 725353.3807807137 9301565.077459957, 725345.685373706 9301518.915228438, 725336.0689993463 9301437.19816814, 725384.1470687696 9301403.538283475, 725412.9833157023 9301379.510701085, 725444.2382602997 9301362.674592303, 725485.0969831039 9301333.832428817, 725480.2926034109 9301319.416124076, 725475.483744205 9301295.376425777, 725468.2050891407 9301279.365908742, 725463.4605759169 9301268.93147178, 725441.8315263996 9301273.739375444, 725398.5656992153 9301278.554542897, 725367.3223812296 9301278.555163413, 725348.0888767379 9301276.152690576, 725333.66358109 9301266.53043448, 725324.0543009505 9301254.511132132, 725314.432891178 9301228.078895349, 725309.6296404039 9301180.002801297, 725290.3956361924 9301050.206390524, 725314.436156863 9301030.97609797, 725328.8546687756 9301002.126871128, 725336.0749721265 9300963.671352247, 725328.8540005487 9300922.805684544, 725314.4359890132 9300886.757777333, 725304.8256139037 9300860.31445218, 725314.4420111174 9300845.897000797, 725351.308408975 9300817.922187962, 725347.7195517566 9300814.319169732, 725339.5642036704 9300806.165682448, 725331.40877</t>
  </si>
  <si>
    <t>Depok City</t>
  </si>
  <si>
    <t>POLYGON ((700108.1432239751 9301680.41566629, 700108.1302003829 9301676.666407015, 700108.1742332793 9301676.599894686, 700108.2842386998 9301676.411494346, 700108.7131560757 9301675.64687165, 700114.0032896663 9301666.260763602, 700133.3201509647 9301636.342995781, 700134.9580845542 9301620.46635289, 700130.6805567939 9301605.981689833, 700126.4120594696 9301590.910821106, 700121.9922736101 9301529.11241515, 700121.9694118198 9301528.902356552, 700114.3495129339 9301520.656029994, 700103.3575391276 9301516.46934088, 700084.7665003613 9301513.215961685, 700057.7105040563 9301500.546832921, 700055.1354023111 9301488.743812041, 700054.9708907864 9301441.385920694, 700048.1740323597 9301427.960702114, 700037.1679832058 9301419.71507512, 700021.9238951134 9301405.157909833, 700006.5747294662 9301389.019543238, 700003.2761277009 9301385.558194611, 699999.7998975029 9301381.931564499, 699973.6203903414 9301353.963547874, 699965.086169435 9301327.781249715, 699965.8396309536 9301302.573146215, 699971.631708143 9301268.853546897, 699981.6790918204 9301243.237122564, 699992.6057667581 9301228.64435013, 700000.1743624384 9301222.136960907, 700013.6464218684 9301210.79800694, 700010.2396653299 9301201.685432376, 700000.9300221102 9301194.38506851, 700000.6532245865 9301194.3417906, 699987.411245786 9301192.275355333, 699968.828815364 9301188.280927975, 699957.8187839664 9301178.874027103, 699945.0897288914 9301161.996611437, 699929.7707755984 9301125.861866131, 699929.7294033159 9301113.950510802, 699936.4100823376 9301093.942088068, 699939.2263526022 9301085.980245719, 699944.7713246464 9301070.333361274, 699943.0514137418 9301059.423225885, 699934.550753072 9301042.89610288, 699926.033960287 9301021.723883064, 699924.2850058059 9301005.63782176, 699923.3458478577 9300977.38307079, 699923.2791078297 9300977.283763645, 699923.2344223665 9300977.162260119, 699919.7737393265 9300968.448030842, 699912.147626143 9300961.573153256, 699909.7711534658 9300952.788798332, 699907.566507237 9300942.499701941, 699906.809661258 9300934.871008981, 699906.0390984782 9300926.479231484, 699905.2853648723 9300916.56113113, 699903.8437526389 9300902.940358298, 699902.2274330488 9300886.809598122, 699898.4116927381 9300855.523373963, 699893.8319593106 9300827.292333443, 699889.2614495532 9300811.271376444, 699882.2067753586 9300800.059040805, 699868.6516384671 9300787.453622302, 699854.2785684057 9300781.486974511, 699834.8458795665 9300777.97107284, 699782.492660442 9300774.514192518, 699778.2554061441 9300768.412792291, 699763.7924547195 9300736.55525903, 699767.0993483593 9300716.923548546, 699776.3281206492 9300700.965272104, 699790.3608389529 9300682.225337781, 699804.0631915573 9300663.95105985, 699806.5591142848 9300652.970986685, 699805.6533918357 9300637.523476586, 699793.7251938637 9300605.86728699, 699780.1549033687 9300588.882205093, 699767.4710914004 9300581.803696498, 699757.349888139 9300582.944836842, 699742.1717259239 9300590.48508763, 699691.6201390108 9300618.243950149, 699673.0611109603 9300624.1148136, 699660.6798373607 9300621.304344585, 699653.625391637 9300619.7030298, 699635.8629100363 9300609.578538187, 699623.9989199808 9300596.392106568, 699617.1939663347 9300580.589046258, 699615.4425449006 9300563.773058696, 699615.4072752969 9300563.175947987, 699612.7615423386 9300521.434111865, 699604.2276812996 9300514.429652236, 699575.5414730922 9300500.571650388, 699573.0010420559 9300498.733468015, 699564.5323939276 9300491.38592253, 699559.4300159563 9300478.319802416, 699561.0733762374 9300467.187870622, 699563.5625677924 9300454.261304308, 699571.7196831455 9300371.848019002, 699571.3593863163 9300363.68708484, 699571.1065104596 9300357.7819915, 699568.9685822334 9300309.313997995, 699557.1051907721 9300296.28240949, 699541.0296291182 9300284.360366782, 699510.6283924464 9300257.756293664, 699510.5395994063 9300257.679182729, 699492.7401364777 9300236.859921958, 699485.9366954995 9300221.47713636, 699484.1798056918 9300203.079614816, 699484.7110320925 9300139.328698682, 699484.7722657481 9300131.46492072, 699485.5812823409 9300119.064001938, 699485.4950695714 9300094.223839464, 699487.1360309671 9300082.406205734, 699487.7411139575 9300065.449328799, 699489.8589861296 9300006.127907237, 699489.2940401686 9299974.07837126, 699481.6482816332 9299961.496663477, 699470.0974464593 9299949.227127504, 699469.6265830193 9299950.655484807, 699435.051334293 9299913.780243391, 699409.6721054189 9299899.357782375, 699401.8486106298 9299892.948092133, 699385.1252060804 9299879.24765618, 699339.3775942799 9299833.895061962, 699324.1605523649 9299826.980144395, 699303.0297525492 9299821.88849562, 699273.4751424852 9299819.148628319, 699259.9135593403 9299804.585594723, 699255.6546256912 9299792.2022675, 699257.156836462 9299778.659793828, 699263.1249905222 9299757.42628946, 699274.0493831726 9299742.247452172, 699284.1597303405 9299734.835455094, 699286.6860026732 9299732.603659863, 699308.5751511501 9299717.077096853, 699311.9306278294 9299708.261806792, 699319.3493174592 9299658.610475393, 699321.8380886794 9299645.573324136, 699315.8634518549 9299626.65957694, 699300.5526302198 9299592.703639392, 699283.6313238537 9299582.531985935, 699250.7627639422 9299568.644245956, 699251.1824433492 9299568.410532974, 699250.286261129 9299568.446821673, 699249.80975832 9299568.249397386, 699235.6910002447 9299568.49745512, 699226.5177085227 9299568.507157225, 699195.1894237957 9299574.378006423, 699146.0220104437 9299583.009298839, 699144.2982245823 9299583.712046463, 699144.1876089689 9299583.723489862, 699135.1820422085 9299587.426585015, 699119.8226138342 9299593.673352644, 699096.2518293834 9299602.901559472, 699090.1939339162 9299604.63683486, 699075.3907075386 9299608.536972437, 699075.0815664176 9299608.737121174, 699070.8763960496 9299605.466921987, 699070.0715606718 9299593.547197241, 699065.8341025722 9299587.346250765, 699053.4269996266 9299586.58188365, 699040.4997477462 9299585.797196874, 699032.8576193023 9299574.221903943, 699014.9903303267 9299533.72737412, 699015.8007035902 9299521.70251589, 699022.4239059201 9299485.126778554, 699017.2737487315 9299461.421262344, 699009.6282501647 9299445.676422535, 698996.8761586413 9299421.986193422, 698990.0106160166 9299388.631381232, 698987.1933677888 9299361.17955557, 698987.4106639876 9299353.635989746, 698983.461517118 9299322.062766176, 698981.7671162394 9299296.122248035, 698969.090313396 9299249.44941146, 698969.6427485773 9299242.822651258, 698973.5924398099 9299229.857885854, 698978.8337035913 9299216.00385519, 698983.7626960146 9299204.63937044, 698984.5871505499 9299203.066014752, 698984.6190429854 9299202.689869527, 698985.134933838 9299201.482558286, 698985.2547974404 9299197.75497561, 698985.6148478149 9299186.704944052, 698985.7196733039 9299185.023484481, 698985.6847137464 9299184.514852878, 698985.9046865612 9299177.745466199, 698982.3918334206 9299141.160622671, 698981.8875684914 9299139.337496702, 698981.7730046475 9299138.209789852, 698970.4568778509 9299097.814234108, 698964.4136715275 9299068.659319602, 698968.5630809207 9299046.281931918, 698977.3638639064 9299034.60540381, 698993.8991811869 9299013.302108899, 699006.2994860456 9298992.99747184, 699012.9307874113 9298984.325675368, 699061.0318261754 9298933.206115473, 699065.6264889082 9298924.36441631, 699075.665992563 9298906.147193067, 699112.0468323536 9298835.370624265, 699114.8632338303 9298827.47517536, 699113.2429690767 9298819.738902431, 699112.1146804295 9298813.471882362, 699101.9055267964 9298792.360878352, 699092.651816663 9298775.537780765, 699082.7132291435 9298755.863618558, 699072.6958739443 9298738.99893167, 699068.764067866 9298728.395120537, 699064.6585198815 9298718.743059512, 699062.7699207416 9298713.396646364, 699062.3557445619 9298702.459892567, 699061.8794099037 9298689.554701265, 699064.3536985343 9298672.359108036, 699077.7170663725 9298633.072378803, 699069.2045631123 9298613.006176965, 699055.6457084268 9298595.965769477, 699037.8258608878 9298572.304239893, 699037.7698203267 9298556.157055307, 699042.7868173079 9298541.4853429, 699044.0587678093 9298531.759320796, 699044.3634492012 9298530.276243491, 699044.2851099867 9298530.022138868, 699044.4360303532 9298528.87139072, 699042.2835589661 9298524.0125281, 699039.8571550623 9298516.743569203, 699038.6255415236 9298515.774577264, 699038.4805425211 9298515.443285068, 699036.4951529874 9298514.08981465, 699029.138707076 9298508.286807075, 699014.7127143622 9298506.014306087, 699011.4238607023 9298505.306829859, 699002.1301183832 9298502.441402609, 698991.9635692785 9298490.399330333, 698989.3835121226 9298477.11434823, 698987.6884970401 9298447.833757164, 698987.9381215587 9298446.428290393, 698987.6059746058 9298446.374143818, 698987.5941034388 9298446.141928239, 698987.5821938977 9298445.89865295, 698987.5399362869 9298433.721908692, 698979.8967934932 9298421.825918792, 698967.2032844286 9298411.794448646, 698963.4792500291 9298410.037796212, 698940.9910106318 9298399.443078393, 698923.2289450731 9298389.219051411, 698909.664598967 9298373.760212116, 698905.399011845 9298359.430395357, 698905.3748771863 9298352.47383833, 698886.7877124102 9298350.005617177, 698844.5612824608 9298343.239687689, 698831.0368611973 9298339.282932002, 698821.7175395793 9298329.029602762, 698819.1499859643 9298319.339029444, 698814.879763668 9298306.856222223, 698816.455128219 9298272.941296773, 698818.0918416051 9298259.907131394, 698810.4203096793 9298236.619600732, 698787.5328894217 9298209.801454313, 698769.7290709848 9298187.51126811, 698761.2434026516 9298175.14261918, 698754.4502562161 9298165.831675109, 698740.0441345923 9298150.1103056, 698726.5058876332 9298142.149928385, 698702.0165165858 9298138.374953482, 698683.4571503402 9298140.706558865, 698669.1278837342 9298147.148811867, 698647.270873615 9298174.962620419, 698633.82891863 9298194.784177573, 698622.0406327342 9298203.26367578, 698608.5427518385 9298206.949129429, 698592.5015652941 9298204.737444153, 698572.2013295076 9298193.25025692, 698530.7109495178 9298159.329725996, 698510.4067620632 9298146.692317102, 698489.2950375855 9298143.701863395, 698457.9613458349 9298115.806907404, 698431.7132166976 9298093.01502999, 698397.8677751846 9298071.510267029, 698370.7586495806 9298042.914952362, 698358.0526390554 9298032.407871814, 698303.9043792412 9297995.412192477, 698287.8115384668 9297981.444043128, 698275.9085045466 9297956.755498318, 698270.0980521839 9297937.210802242, 698298.4768761356 9297891.490875881, 698310.2340673774 9297874.042039111, 698315.2018127745 9297845.125555629, 698318.5209759264 9297829.033099264, 698367.3673197441 9297795.264268255, 698379.1518885912 9297785.734138303, 698392.5472004975 9297752.464060385, 698400.8751070386 9297719.322124923, 698425.2545989418 9297691.444352526, 698435.3433478106 9297677.905362366, 698441.1782516143 9297656.583934674, 698441.1245280899 9297641.078253834, 698431.7870937422 9297625.54944, 698416.5313576099 9297610.461403515, 698395.3924818904 9297599.574356947, 698372.5754245592 9297592.951147012, 698349.7616690947 9297587.279062122, 698291.2792125568 9297519.187247703, 698286.4900717176 9297510.190084882, 698286.1782234068 9297509.604994724, 698286.1400793743 9297498.589554463, 698292.8577174718 9297489.33134917, 698302.1155792852 9297478.70398831, 698323.0810523991 9297439.545995213, 698348.3363606529 9297418.577580411, 698359.274958221 9297407.62364653, 698365.1388771863 9297394.685464986, 698366.7641108681 9297378.333425233, 698360.7982289983 9297361.841789931, 698354.000573594 9297347.996332798, 698353.9663928852 9297338.131095381, 698358.9970700582 9297327.418822588, 698389.3789223963 9297326.616775054, 698399.6271339969 9297323.993261797, 698418.8531830455 9297306.584830515, 698423.8635311087 9297299.588717643, 698429.7767538058 9297291.306535143, 698437.3156667525 9297273.197595183, 698437.285685371 9297264.548919216, 698429.655913623 9297256.446400085, 698389.0834039466 9297241.34660131, 698366.2606529887 9297233.042356364, 698338.3370281532 9297211.99275213, 698323.0834334646 9297197.490889635, 698320.5434706148 9297192.544893414, 698315.4411862597 9297182.58661957, 698331.1905974785 9297100.689412523, 698339.4221231076 9297078.098859966, 698339.5535599464 9297077.711310862, 698346.2389991507 9297059.185066612, 698349.5822585997 9297046.886022069, 698352.0317495989 9297025.731161393, 698351.4468024423 9297016.586720228, 698351.1432830926 9297012.020067846, 698340.1024275365 9296993.44466704, 698327.392678054 9296978.613268446, 698325.6569753593 9296966.276529996, 698322.1999316168 9296942.554147797, 698324.6579514476 9296920.669311663, 698325.4584716678 9296909.00949057, 698319.508139404 9296896.997036977, 698307.6700827111 9296891.032591257, 698284.8661066355 9296888.103360461, 698277.2568143174 9296882.69936389, 698272.8708654043 9296836.783158822, 698269.3581014876 9296796.980005058, 698269.1871693736 9296747.664888581, 698269.9549870075 9296726.571162209, 698273.8319470542 9296708.640824307, 698274.1151844003 9296707.356904019, 698284.1745590377 9296688.597765677, 698295.107694176 9296676.117569344, 698360.9251860837 9296667.5059961, 698369.3626729785 9296666.050015513, 698376.93219109 9296656.79987104, 698382.7635636732 9296634.516225781, 698381.8759894813 9296621.070562977, 698370.8249181417 9296599.542247571, 698364.0151584228 9296585.387179866, 698365.6621478822 9296572.14286274, 698378.2329628215 9296546.938164143, 698381.5104418164 9296538.023638325, 698384.9304184392 9296528.721523885, 698385.5373100897 9296461.265569257, 698389.6589226464 9296434.143645726, 698393.7915924215 9296407.021682154, 698393.7262715894 9296388.198091814, 698377.6463663495 9296377.86871804, 698357.3399833365 9296364.435136735, 698349.7068556537 9296355.337269524, 698357.2214059082 9296330.260703819, 698359.7186169595 9296319.700970137, 698357.1570754105 9296314.909896495, 698342.7233711341 9296287.918719765, 698336.7683033248 9296274.534881396, 698337.5784831349 9296265.673154904, 698351.8919186307 9296254.81804353, 698376.3268810473 9296239.968383783, 698392.3192310877 9296225.081655834, 698395.6760389812 9296219.905067042, 698409.0900565607 9296195.394174615, 698419.1753327985 9296180.959272236, 698429.2757263093 9296174.06711462, 698467.3288593248 9296190.336708928, 698475.7791017528 9296192.57462965, 698490.0844325826 9296179.396935008, 698499.2895118679 9296156.847154431, 698502.6336296084 9296148.020855857, 698507.6115228736 9296122.167804651, 698512.8969515804 9296111.587308038, 698527.5639298548 9296110.1538792, 698581.5527106276 9296104.790298529, 698622.6707626608 9296101.937742937, 698623.6688322212 9296112.131442618, 698628.2932606514 9296111.938412398, 698634.2008865535 9296111.652443007, 698678.9383004267 9296109.130122371, 698696.1683071575 9296109.722748837, 698726.2129328836 9296110.757443115, 698733.8042035184 9296110.985421106, 698741.4067699725 9296111.27971788, 698754.9151193039 9296110.757165574, 698764.2004449228 9296111.311043093, 698786.157744367 9296112.650330205, 698819.9287307913 9296112.964184003, 698836.8073960202 9296111.158004288, 698847.7682894352 9296109.90328338, 698876.1392628879 9296106.928997822, 698897.5640240775 9296104.675644178, 698908.5310170866 9296101.994168818, 698936.3440123878 9296091.302016066, 698940.5639554255 9296089.34079139, 698998.7255617973 9296065.293235706, 699026.5552600896 9296056.226770064, 699030.7687182894 9296055.581682833, 699054.3809000253 9296049.173196966, 699082.2233041037 9296043.756409435, 699085.4429417589 9296043.689892953, 699094.9296527292 9296057.58120659, 699101.730036528 9296068.993410539, 699234.6048489629 9296166.520740416, 699248.2515328433 9296173.927518677, 699306.1529187863 9296205.334750185, 699429.6606340423 9296272.336023696, 699429.841297508 9296273.375022063, 699430.6029532355 9296272.852550378, 699432.5207860061 9296273.885487905, 699440.9536377323 9296271.113215327, 699463.5422740144 9296259.908156186, 699466.226420834 9296258.58266375, 699478.8862055751 9296255.85093335, 699494.0858574986 9296258.0098637, 699498.2920538505 9296258.448638767, 699506.759809473 9296259.337054672, 699511.8217769673 9296260.85671054, 699539.6981309794 9296265.128059376, 699557.4268385642 9296265.906719731, 699576.8265615159 9296266.74589974, 699610.6239225268 9296268.209450733, 699657.8956092873 9296268.884906664, 699679.2611286622 9296268.644376665, 699684.9150793632 9296268.580386009, 699713.6272586223 9296271.377769016, 699734.72800264 9296271.359341536, 699744.8583520981 9296273.0603467, 699793.8250382149 9296274.315943666, 699809.8944889385 9296272.058854457, 699841.0822047845 9296267.658585906, 699884.9602348376 9296262.926366145, 699885.9005877358 9296262.878838195, 699885.9004717107 9296262.845658883, 699888.6770391698 9296262.636871103, 699889.019622396 9296262.51401415, 699897.6505914448 9296259.442357223, 699956.3986245794 9296238.532727709, 700046.8524288975 9296206.34155228, 700131.2107618869 9296190.34115017, 700271.9075568917 9296207.887057705, 700263.9184029119 9296239.391600013, 700261.4250147999 9296250.94689839, 700261.5118484944 9296275.731887633, 700266.743434153 9296322.497045249, 700276.9406954447 9296340.124022786, 700326.9028300211 9296385.416333163, 700345.4670409316 9296384.610265665, 700376.7018187733 9296384.13582214, 700394.4604211916 9296393.408160564, 700408.0232878806 9296408.391068362, 700415.4186875031 9296415.84165983, 700430.8980338157 9296431.459323471, 700450.3863826492 9296451.221466118, 700479.0806630352 9296474.092350485, 700492.0636735004 9296494.09849452, 700499.785884883 9296509.544270407, 700491.0064729548 9296527.093994783, 700487.7677049576 9296540.653773366, 700500.2434875591 9296561.15939578, 700545.9573903922 9296616.022299705, 700571.2575988035 9296655.46180487, 700575.9212673317 9296660.123804819, 700586.3923265851 9296670.594027039, 700591.0548052535 9296671.761088843, 700594.5438303245 9296682.233677568, 700607.3467532427 9296695.040427733, 700621.3168041874 9296712.510379212, 700638.7805007432 9296732.301723307, 700641.8104728239 9296744.390674647, 700685.9879102102 9296733.396947553, 700691.2159824168 9296760.154737571, 700699.6823934291 9296766.92690062, 700703.0891802344 9296772.876259504, 700707.3643327507 9296789.794040322, 700717.6602419317 9296835.479743257, 700720.226705834 9296847.913181, 700726.244742 9296879.059002545, 700727.9602646667 9296885.489873972, 700733.9611135464 9296911.736199383, 700747.5844776528 9296943.906034851, 700769.7174847833 9296998.309694638, 700788.4308810474 9297036.79902487, 700792.6655043946 9297042.15930297, 700803.6338305743 9297039.798225679, 700833.1272222543 9297025.405263267, 700841.592948646 9297031.96728408, 700861.1330593965 9297066.383642064, 700865.5957410511 9297086.275898976, 700866.270279555 9297086.151871892, 700882.285114421 9297080.864299405, 700909.2775608597 9297072.706834009, 700921.0842338782 9297069.601774089, 700947.2290959663 9297062.708099026, 700950.6033798128 9297062.541410875, 700961.5218247462 9297061.728872385, 701044.8659582414 9297055.839789495, 701071.2965233871 9297048.380989619, 701146.6013231468 9297031.327305812, 701193.2077063423 9297081.674364164, 701275.3047396066 9297035.785388544, 701292.6232788455 9297067.687813092, 701411.1111508644 9297014.824459234, 701427.9759616383 9297043.543183725, 701429.798379228 9297070.888117978, 701439.8296842957 9297100.958095787, 701451.6732946897 9297114.63079256, 701465.3469896854 9297120.101594284, 701500.890478154 9297130.129534932, 701566.2274587457 9297104.151793027, 701582.5074250224 9297095.60037516, 701602.4997501831 9297091.758492317, 701650.383085644 9297077.267092168, 701740.6207141741 9297039.886979073, 701750.6397761366 9297072.710932959, 701787.1155602287 9297067.82652561, 702012.6947072698 9297037.611016424, 702013.17042686 9297037.587217003, 702021.9256549815 9297032.07053851, 702055.458679769 9297017.950156238, 702129.1341674919 9296990.71455361, 702320.6912651919 9297046.00135726, 702447.4211072798 9297070.980204135, 702472.7682496558 9297079.428885855, 702476.1552343613 9297082.845516853, 702499.8610665967 9297099.63927185, 702530.2863463708 9297110.978758497, 702573.3630673178 9297117.15264988, 702590.257389359 9297119.625600813, 702616.3844029042 9297123.30458755, 702617.292211974 9297123.434094286, 702646.8500446102 9297127.277882861, 702652.4407864527 9297128.065470979, 702658.6724828951 9297128.618527805, 702686.5460007214 9297131.782538014, 702734.6844062004 9297139.309839198, 702746.5195648714 9297141.114944844, 702754.1136089128 9297142.039207976, 702757.4888242551 9297142.126791414, 702795.5066841538 9297147.699087583, 702890.9500169978 9297161.705734279, 702897.7059049989 9297163.418215932, 702903.6199022564 9297164.86823982, 702972.8974537414 9297179.863384165, 702992.3423943009 9297187.016653474, 703003.8807458283 9297192.4836487, 703011.7946769415 9297196.238125686, 703017.7197461112 9297200.807041746, 703055.7967665794 9297226.143333409, 703066.7997690025 9297233.536672715, 703073.564308336 9297237.682324266, 703074.7066094636 9297238.408236941, 703075.8488713934 9297239.123089662, 703084.5658247519 9297244.655383699, 703066.0449242063 9297292.124585658, 703070.1265871325 9297413.383864455, 703063.6010891213 9297426.723341677, 703059.7231199392 9297434.645050235, 703025.0400060874 9297473.987068249, 703025.0069281219 9297474.020365758, 703025.0069673363 9297474.03142569, 703024.5992018338 9297474.497394636, 703014.6399651375 9297524.314100841, 703064.5249334137 9297543.702503579, 703354.8372270159 9297516.039623793, 703431.7912056226 9297533.130648635, 703435.9440091806 9297534.056004269, 703453.9215564111 9297604.655108493, 703420.4512529552 9297686.364334257, 703369.1601839084 9297747.87468804, 703360.0990800527 9297757.63973824, 703327.9550588932 9297792.217085322, 703319.6103419969 9297819.885868609, 703320.2378341958 9297843.917217996, 703322.4020768348 9297926.815973941, 703323.5162066219 9297969.492908036, 703272.4240024444 9298040.392372787, 703261.7002285891 9298061.853796659, 703268.4709334512 9298083.308470057, 703291.9581419704 9298116.272703307, 703376.37305953 9298112.124307482, 703380.3443043341 9298114.886298575, 703438.1490816063 9298155.03943468, 703458.7519140099 9298198.366123602, 703499.3890355509 9298283.815971954, 703511.6691045866 9298413.993985413, 703435.929005891 9298480.501667567, 703322.0481265939 9298482.14429657, 703265.6133546901 9298453.919950798, 703162.8991739283 9298306.067841785, 703129.0491020889 9298290.26127792, 703085.0293059993 9298299.287416479, 703051.167357165 9298320.731183086, 703030.0786810294 9298346.343576951, 703019.5563291587 9298359.11098072, 703017.2999030668 9298403.126993619, 703044.0663427053 9298440.326777732, 703184.0019735212 9298621.725161308, 703246.4126804797 9298665.689064626, 703271.2283238271 9298683.164540498, 703317.7203345223 9298715.925642708, 703367.5228033684 9298711.734287994, 703372.0735933552 9298703.168704512, 703409.4581291397 9298632.793503836, 703460.79414149 9298589.897333523, 703538.3651543505 9298562.193046868, 703575.391740591 9298565.634038849, 703612.6840267275 9298569.107245252, 703639.7472210882 9298630.527461853, 703639.692954022 9298630.826277364, 703640.013970183 9298630.858317925, 703639.9213626237 9298629.708395787, 703781.7074924961 9298617.967738355, 703818.8591779118 9298619.21824085, 703828.1479797808 9298620.556685409, 703896.5522488701 9298625.843609747, 703911.7458921333 9298625.999737239, 704143.9349614673 9298631.975765351, 704149.0007115583 9298631.32730728, 704192.8618376132 9298621.150690712, 704208.9045534765 9298620.463146228, 704209.7648655053 9298625.8906106, 704211.4890732798 9298634.644100541, 704212.3420610821 9298638.014405485, 704218.3109298466 9298654.815623173, 704226.9382741556 9298706.56847228, 704232.1488208363 9298746.587621331, 704250.9069520028 9298799.94130766, 704252.6197052757 9298805.4763395, 704254.3228509037 9298808.312731626, 704271.4092042055 9298867.633788925, 704279.23524197 9298930.52706332, 704293.765638028 9298980.577770092, 704298.0338290127 9298995.228321744, 704292.1833632255 9299011.695578407, 704288.0092717926 9299023.478426706, 704293.141872874 9299041.598786062, 704310.952280481 9299064.949702146, 704334.6520369167 9299082.749578385, 704362.5570481353 9299094.407155937, 704383.6773652423 9299099.452796662, 704436.8290585249 9299087.860484822, 704446.0111766302 9299087.175228545, 704478.1817687547 9299084.771171242, 704509.4447344142 9299091.616616765, 704523.8248375631 9299099.429144017, 704536.5365023451 9299114.149150588, 704534.9270498349 9299134.505568957, 704533.382471528 9299176.174671454, 704531.7812852988 9299198.853691172, 704535.2373219135 9299221.581052374, 704541.2023641104 9299237.276276827, 704553.9155519935 9299252.41656954, 704577.6254052194 9299273.00351255, 704581.0163773275 9299274.36288801, 704584.3912390644 9299274.306620762, 704651.0804562545 9299273.117753305, 704692.432902934 9299269.90666088, 704694.9479272512 9299264.566695236, 704694.0674633551 9299253.498612195, 704686.4185598965 9299240.397472754, 704672.8378031696 9299217.816804526, 704677.870149883 9299210.886260789, 704695.5603983162 9299197.374024548, 704714.1278143621 9299197.108728148, 704734.4006204049 9299200.299174806, 704806.2353994211 9299220.824980393, 704816.3533173366 9299218.786990592, 704819.7164360209 9299212.3379724, 704818.8158031726 9299198.726117177, 704816.1698144776 9299167.35785742, 704822.8882121159 9299155.366780534, 704835.5060849854 9299143.774935534, 704875.9148734227 9299111.821658242, 704882.6180109534 9299095.56139601, 704884.2032138061 9299068.447251372, 704880.7555130642 9299048.097779507, 704868.0092791369 9299023.722419342, 704847.6515907474 9298996.741908832, 704829.0195522744 9298981.987786088, 704797.7213439844 9298965.2769752, 704774.9064962812 9298959.828310978, 704741.9823906659 9298958.828716032, 704724.2653066096 9298961.690149302, 704714.9863709288 9298963.150013855, 704698.9250977548 9298958.672642885, 704689.609669972 9298949.90198249, 704682.8060512531 9298934.895490002, 704675.1105003876 9298908.710354868, 704666.5957869533 9298888.644412223, 704658.1163459953 9298872.261377975, 704641.0906482355 9298839.373886256, 704641.5794458489 9298830.601435132, 704641.8810163995 9298825.18088055, 704646.9097464837 9298814.147022532, 704662.0555223895 9298800.85398031, 704688.9889680708 9298775.916763594, 704712.5047203256 9298742.132530943, 704722.6025492505 9298731.390254484, 704743.6691264848 9298721.394098002, 704773.1907860136 9298714.752161024, 704805.2417526124 9298706.785016023, 704820.4039838653 9298695.018157348, 704829.6401437209 9298681.59130845, 704829.5960673594 9298669.248313555, 704826.9579100307 9298640.092060156, 704825.2065082132 9298623.751380008, 704826.0429127379 9298619.36856484, 704837.7474871284 9298587.573007582, 704854.4861919957 9298546.280892715, 704862.7449480598 9298534.947892793, 704866.2466725099 9298530.146327857, 704879.7211105957 9298519.867528353, 704894.8950468078 9298514.493370475, 704918.5283259087 9298513.667893738, 704937.9635525024 9298517.867670875, 704958.2588154462 9298527.395375382, 704974.3070565898 9298531.341802875, 704990.3350951732 9298526.539694775, 705004.6599076679 9298518.890142936, 705014.7911016324 9298520.60143388, 705049.4433800464 9298528.385574654, 705063.7866983663 9298525.912106877, 705074.724705955 9298518.06450169, 705077.2281757689 9298509.517084748, 705080.4889573501 9298474.477810536, 705087.4191989428 9298459.886757733, 705089.7036963309 9298455.089525659, 705098.1095832626 9298447.781856336, 705117.5110724223 9298442.547349086, 705138.5921687968 9298433.557420662, 705152.0593866593 9298421.276666997, 705162.9636059436 9298403.994812112, 705164.4252500926 9298398.083439332, 705169.6171137361 9298377.017314607, 705170.3357371815 9298339.730832677, 705163.5502862798 9298329.834122041, 705132.2014519022 9298298.933521617, 705104.4865186947 9298269.247593304, 705091.4989599169 9298248.567265289, 705092.2878103962 9298240.180819767, 705092.320017538 9298239.904199813, 705093.9654048302 9298229.678698232, 705098.0509138305 9298193.209696375, 705100.5039722227 9298170.582831092, 705104.7798199009 9298125.46407569, 705105.3877524149 9298119.091230595, 705134.8158282449 9298086.391525289, 705141.5474165955 9298081.246561386, 705170.1756582512 9298060.052290719, 705208.9737982297 9298048.311231976, 705215.7153971461 9298045.964449968, 705235.9599713307 9298041.357270926, 705259.7255161604 9298077.505367089, 705270.7566683344 9298092.60727109, 705275.8112142924 9298088.839759469, 705286.7675378094 9298083.04921124, 705312.9031276612 9298073.410633806, 705365.1729821994 9298053.768453352, 705371.616527251 9298051.621803124, 705371.9149375662 9298051.52119188, 705376.976490696 9298049.71129961, 705375.2830089211 9298046.498848649, 705368.4282844154 9298020.366027487, 705360.9721707646 9297999.334116938, 705357.3503862806 9297989.138526943, 705337.7670651614 9297943.585362399, 705322.3949722375 9297896.700944401, 705319.7340889556 9297858.209911782, 705322.2367867106 9297852.56023895, 705331.5196368429 9297849.153608259, 705365.260449012 9297840.438892545, 705378.7252331787 9297830.624462528, 705384.5886002881 9297817.895264605, 705385.3664456359 9297800.28462582, 705378.5284477276 9297775.733360492, 705358.9604350841 9297734.449400859, 705341.9634866843 9297703.497517206, 705321.6141347378 9297678.839847062, 705314.8175560923 9297665.83528985, 705311.3728817723 9297646.392739069, 705314.6712581262 9297625.023661384, 705319.614572352 9297590.243717644, 705316.1606147003 9297568.213112919, 705308.5394498492 9297562.865176164, 705289.0790875844 9297551.587170612, 705273.8296778998 9297535.825744826, 705271.2664171276 9297527.661443643, 705275.4446112082 9297514.04241766, 705283.0163214556 9297508.68425709, 705260.1332432515 9297484.079915378, 705259.2550506876 9297473.697534066, 705400.119655259 9297440.078145806, 705433.8630269598 9297432.148580194, 705473.5158764303 9297424.363688584, 705476.8894526667 9297423.975534718, 705495.4474319512 9297421.221300721, 705538.4602354739 9297409.254598223, 705553.6387203493 9297405.240549732, 705616.0548835176 9297388.669425879, 705673.3941676848 9297369.627910895, 705676.7733646375 9297367.72447279, 705692.7854129554 9297361.650184566, 705713.0166657276 9297353.403986312, 705730.7092243868 9297343.850734837, 705730.9522244325 9297343.728199089, 705731.6812245733 9297343.360591844, 705746.7249361698 9297335.719211916, 705767.7872827533 9297324.727065083, 705771.154256932 9297322.502916897, 705819.750906955 9297217.05691297, 705822.2565772539 9297212.258821566, 705833.1557675058 9297190.641109992, 705841.5498709045 9297177.062134301, 705860.8810874406 9297152.41676295, 705881.0063801274 9297114.739562582, 705921.3158911861 9297055.78724102, 705908.6154189168 9297047.294434715, 705897.6233414907 9297040.001046006, 705900.3986596749 9297036.341181165, 705922.826437105 9297008.156407049, 705931.2341359615 9296998.371017145, 705937.1164027283 9296990.961605947, 705974.9391339809 9296942.094034463, 705985.8741090012 9296930.452471836, 705987.5309834573 9296923.489612589, 706054.3605368361 9296961.90454568, 706124.6031840543 9297007.805983758, 706158.5925515248 9297068.227373065, 706194.153886453 9297098.105731001, 706251.4947430539 9297079.594379954, 706314.0082740826 9297090.130684393, 706446.8256308436 9297166.443180824, 706478.1277505662 9297184.258968739, 706506.0461718751 9297202.717388606, 706526.3585789357 9297216.98927872, 706537.3546414531 9297222.280655906, 706566.1253372586 9297240.791283673, 706583.8897188555 9297251.168078152, 706586.4320683772 9297253.481561441, 706736.913608141 9297309.102422189, 706748.741856436 9297318.073840095, 706863.8951642998 9297405.321743837, 706864.2496168996 9297405.420005849, 706864.6040295422 9297405.507207701, 706879.1026323907 9297409.32592547, 706922.2181704321 9297425.78268859, 706943.3302261468 9297428.559944749, 706963.5742093939 9297423.841448681, 706985.4839312711 9297411.57379791, 707002.3053332384 9297393.694839189, 707014.8947397611 9297374.44863662, 707026.6008514247 9297343.503822098, 707028.2574218404 9297333.421895474, 707035.1883205709 9297325.311749404, 707058.5684336019 9297309.63216295, 707078.782048656 9297296.530008422, 707086.3112953487 9297279.469900034, 707091.3029427513 9297258.359836835, 707097.1752080296 9297248.207350684, 707099.7032596819 9297246.561278922, 707107.2660434068 9297241.833285898, 707110.6555140186 9297239.719563836, 707116.5380984538 9297232.420596346, 707118.1891219787 9297220.812358515, 707113.0463798217 9297200.159249987, 707112.9765438054 9297180.859264106, 707116.3108209203 9297169.609925099, 707124.3056617316 9297165.024146821, 707133.1618394081 9297159.948596274, 7</t>
  </si>
  <si>
    <t>Tangerang Regency</t>
  </si>
  <si>
    <t>POLYGON ((681919.8773585212 9336186.023902778, 681990.6672347055 9336071.34176709, 681990.3353940118 9335960.832148394, 682061.851346402 9335892.672030898, 682077.1014555506 9335905.310661288, 682271.0009706522 9335995.50955977, 682472.3664593677 9335939.642650763, 682598.6259125439 9335778.19042064, 682741.4610881404 9335595.565336814, 682652.8863734365 9335524.646774286, 682681.5223560832 9335445.688757874, 682738.1502519483 9335320.24332351, 682863.0149360455 9335137.638585785, 682887.317031899 9335068.204042519, 682951.9180144634 9335097.45851734, 683160.5519118895 9334832.376824128, 683243.4228104826 9334796.59372097, 683235.3505998831 9334741.35699676, 683535.2960573114 9334618.092145573, 683504.7406872475 9334520.015144818, 683478.8779083499 9334443.278617429, 683846.6186761361 9334340.85094786, 683834.5324781687 9334261.938197233, 684012.0692889257 9334170.615385413, 684269.1067538575 9334089.787745701, 684355.9271168071 9334118.806989765, 684399.1618194727 9334137.475267539, 684436.8508698887 9334152.842765812, 684457.9298805303 9334167.15504924, 684475.6639351464 9334173.73628288, 684548.8346920481 9334206.689716794, 684603.1913540909 9334241.91233588, 684615.3865041037 9334247.404560665, 684634.231102841 9334255.088261478, 684725.1598755845 9334302.36392254, 684741.7970390939 9334312.266133616, 684790.6048301846 9334343.082017193, 684812.7911304067 9334357.390833398, 684844.9753186989 9334382.728030395, 684871.6070325754 9334402.552718548, 684929.2888495654 9334438.87087281, 685000.2967981866 9334488.41897363, 685073.5191198773 9334537.960245844, 685089.0289894291 9334541.230465438, 685102.3144610173 9334541.189800452, 685116.734138762 9334549.992834168, 685184.4142620973 9334597.339188866, 685249.8599278068 9334638.05695676, 685319.7579171512 9334686.502320517, 685347.5241871983 9334715.170584919, 685374.1630212993 9334737.20691105, 685428.5478794505 9334781.276150202, 685466.2919718707 9334814.337395497, 685472.9754342135 9334827.587686654, 685480.7626384682 9334839.728695499, 685498.5174092442 9334852.945042215, 685515.134538743 9334856.211786514, 685525.0987137418 9334856.181232233, 685570.6063980826 9334893.642228907, 685609.4340310936 9334918.958808461, 685638.2703626826 9334935.45883189, 685667.2288679606 9334991.770848328, 685693.8984921547 9335023.760099614, 685721.6447340923 9335045.79294625, 685761.56270052 9335065.576627169, 685789.2886214794 9335080.974117493, 685813.682963887 9335093.064127311, 685831.4141246006 9335098.539188018, 685872.4155407036 9335110.578186302, 685881.2692405093 9335109.445095079, 685894.5141249974 9335096.133610072, 685901.1127867795 9335081.736635188, 685894.4326020606 9335069.592248589, 685888.8629524664 9335058.55035136, 685896.5415682909 9335035.302854603, 685904.2643407852 9335026.43192679, 685945.0924379635 9334982.070459008, 685969.3746375206 9334957.666018303, 685999.1550948469 9334921.07974891, 686023.4338471476 9334895.56938236, 686042.1973146665 9334876.711367717, 686096.2563719627 9334814.614624113, 686123.859838506 9334790.199866883, 686158.1128827957 9334767.976431664, 686168.0668624692 9334764.628092756, 686196.8114531438 9334751.268797075, 686206.7552167634 9334744.60277516, 686224.3637854233 9334710.265596349, 686266.3155890845 9334671.42983405, 686802.9947213577 9334220.777092401, 686801.9633857557 9334220.227327064, 686963.6236000088 9334086.565304339, 687295.0245169922 9333915.804305628, 687425.1275263077 9333820.66867423, 687515.75381665 9333737.499509078, 687626.1787053434 9333666.101863876, 687693.5304696693 9333721.15491723, 688012.9480092635 9333510.956058659, 688058.4076081404 9333617.877850804, 688061.0516479955 9333620.78922513, 688073.2644205297 9333631.810314085, 688081.0108247141 9333630.680276185, 688093.1650464868 9333622.901033795, 688147.276161279 9333578.49595949, 688149.4593896716 9333568.535942206, 688143.8721000749 9333551.96466068, 688134.9152113595 9333519.921101028, 688145.9553912546 9333509.933485197, 688201.1700270533 9333464.418969108, 688245.5748998785 9333424.68883543, 688225.3002830491 9333178.730592385, 688248.8927790421 9333143.135063695, 688335.8836782007 9333158.656077532, 688458.2145337084 9333106.959733699, 688557.1323057654 9333049.054656431, 688580.2971955427 9332972.364453835, 688524.654099693 9332869.909453472, 688589.500798717 9332768.073127145, 688717.5107780051 9332624.578230908, 688827.9090553161 9332549.240399575, 688954.226572301 9332505.426331015, 689080.7804855483 9332540.551631514, 689183.4085148468 9332504.707579294, 689214.6942680611 9332401.980136067, 689305.1784563148 9332271.440862583, 689383.9057371145 9332176.460431851, 689525.7350407345 9332041.799992122, 689553.115797468 9331950.928819055, 689521.310779632 9331891.817909399, 689576.4212174125 9331824.548256775, 689568.2059171499 9331725.892799318, 689591.6340142475 9331635.033984562, 689686.3929353069 9331611.04667903, 689761.4275538349 9331598.965800988, 689776.0907993345 9331537.397139631, 689659.8497029603 9331538.869396977, 689649.8580120015 9331530.053504504, 689648.8458210842 9331528.552640272, 689640.9594786905 9331516.810482103, 689625.345247341 9331480.364268878, 689610.9147613088 9331468.244593777, 689595.3980929786 9331462.763864832, 689561.0609154738 9331457.342406947, 689478.0188161067 9331454.286112139, 689448.1030640681 9331446.638834994, 689407.0851239999 9331429.073201632, 689378.2312538412 9331407.0455944, 689314.9255324898 9331343.101411412, 689306.0305815195 9331330.964276, 689279.3005270186 9331280.17605616, 689248.0204327786 9331190.694968842, 689235.703391697 9331146.496935692, 689224.4690910222 9331094.554063743, 689209.7465816623 9330989.538041912, 689215.1462916349 9330946.390203042, 689217.1621236776 9330883.346459132, 689220.0379198634 9330741.779729024, 689234.0783144366 9330630.037671246, 689248.1534177331 9330529.354678199, 689244.7799780925 9330512.776504887, 689208.1526766627 9330483.0319903, 689202.5546655611 9330463.143063137, 689197.9314245493 9330401.226129623, 689201.1063886485 9330354.76751669, 689212.086517599 9330325.979036547, 689212.3174692896 9330325.491704714, 689221.9839454402 9330304.935397908, 689231.8326030539 9330268.409033898, 689248.253959896 9330209.743566085, 689258.1687654321 9330194.229455989, 689268.0626601476 9330172.079889279, 689298.886202645 9330116.686768252, 689312.1291339733 9330103.373992722, 689320.9333524831 9330086.757441992, 689329.6608749367 9330045.810884655, 689354.7606747393 9329930.716038402, 689360.2750506096 9329924.063127954, 689366.8860227201 9329914.088997165, 689370.1653518409 9329900.807609798, 689388.6295714716 9329787.945474178, 689398.2756006508 9329687.276259454, 689412.3288245667 9329579.957597634, 689415.5976345731 9329563.358468702, 689419.9141591967 9329527.955376636, 689432.9858539985 9329460.452937901, 689475.5951272798 9329281.159172885, 689482.1186591275 9329243.537243724, 689503.8019293646 9329098.593035996, 689517.8545308495 9328991.274236556, 689538.5108204803 9328871.769400934, 689559.341804114 9328807.560074914, 689575.8110180655 9328764.377040312, 689626.3255088987 9328634.824363207, 689647.1877478614 9328580.568154745, 689720.8059833589 9328405.599333871, 689736.209894492 9328375.690634564, 689736.6061499207 9328374.970529713, 689814.35722946 9328232.77897564, 689863.8581155001 9328133.088955583, 689888.0725018703 9328088.775230777, 689966.2715905445 9327962.451851927, 690007.0525902055 9327905.920298502, 690017.6146684322 9327888.778122779, 690151.0398159407 9327928.709720371, 690391.2757398352 9327531.15082491, 690457.1878431739 9327464.88404037, 690509.101551822 9327376.067619689, 690672.3726919447 9327121.073335674, 690645.3076606726 9327097.31581056, 690732.1879833878 9326990.029093847, 690732.5646499018 9326990.11636656, 690742.4924817376 9326979.025406508, 690743.5747964804 9326971.280451443, 690743.511286797 9326951.37393415, 690753.432051386 9326938.07113437, 690792.0539353355 9326899.240371607, 690800.9135549972 9326900.318024646, 690814.1976908601 9326900.2756249, 690818.601025997 9326892.520064728, 690834.0038621613 9326862.610803554, 690842.828172134 9326852.629267313, 690848.3102622235 9326836.022822838, 690821.6572837502 9326809.565608691, 690771.7006621303 9326765.487906693, 690783.8177450045 9326746.648434138, 690791.5200215357 9326738.904461272, 690791.4534598229 9326738.860436581, 690864.0647242252 9326631.98380446, 690841.1005591012 9326616.673667487, 690810.7657237478 9326595.072204994, 690773.247615674 9326566.924448613, 690770.1242062409 9326531.743754258, 690725.8870324334 9326503.739090327, 690738.4281362817 9326485.971011747, 690691.2185956796 9326438.865375724, 690648.0113355858 9326404.011697827, 690605.7415460041 9326333.356109224, 690591.8455129528 9326328.932500657, 690577.0050624869 9326344.241662685, 690561.3689319702 9326356.512054758, 690543.3535423441 9326362.099165699, 690437.0784060396 9326396.168867625, 690407.1704461671 9326376.423869424, 690407.655093581 9326375.659234717, 690370.4252429373 9326351.005127912, 690312.037341869 9326304.521072393, 690312.2025458111 9326304.25512355, 690239.040671255 9326259.1783875, 690191.1688681382 9326337.630431652, 690100.000784652 9326290.553853806, 690017.9748777138 9326256.807668319, 689961.2807777135 9326224.13098749, 689847.1262978655 9326182.314025193, 689790.4432904879 9326149.581896707, 689771.2808691978 9326142.553824626, 689729.1656362505 9326127.09412696, 689723.6352487993 9326125.06573988, 689715.7326328747 9326122.016380344, 689708.7721550702 9326119.340040803, 689696.008254968 9326133.226756211, 689653.3555258409 9326178.561332574, 689644.0070772369 9326173.393181508, 689560.7580126033 9326081.954368778, 689539.5625046808 9326058.664565008, 689507.9995410615 9326019.548734715, 689535.0989077087 9325991.659807928, 689536.8536444653 9325965.55445623, 689489.9368008003 9325919.509006085, 689461.9238982402 9325910.6841875, 689412.6908264981 9325895.180571172, 689391.6919090298 9325888.456839146, 689386.7898073347 9325892.542186303, 689354.9702698763 9325919.052551392, 689346.9652161777 9325925.569705673, 689346.368952323 9325926.047143428, 689294.0216295016 9325965.252197802, 689277.1155747145 9325943.607621588, 689253.6054030235 9325954.85196733, 689233.2453664235 9325964.582262855, 689196.4182882088 9325899.073627828, 689146.1923567165 9325909.064437836, 689127.8173184032 9325895.431360103, 689116.1407424035 9325899.626617406, 689082.2503253135 9325918.921701718, 689041.1889167429 9325928.474193355, 689009.704115143 9325931.38292922, 688963.616113203 9325909.20031584, 688953.5934776756 9325886.84822432, 688953.3928204294 9325886.406491555, 688952.7015899101 9325884.86039184, 688952.0759659092 9325886.554429704, 688904.2260961946 9325891.782052033, 688884.2418279999 9325894.32255281, 688867.5339959937 9325893.280559847, 688841.5319007233 9325890.15566109, 688805.2461760549 9325890.635399288, 688791.5519155259 9325893.896937853, 688779.2821285051 9325903.037456792, 688777.8709620152 9325904.866685975, 688761.2690794386 9325902.320278263, 688734.3339521294 9325898.191897785, 688721.8648517481 9325921.322903575, 688714.0871931468 9325919.246246869, 688689.390560315 9325929.874780025, 688673.2616710218 9325947.38821181, 688670.7127196039 9325974.502327533, 688659.9130038476 9325975.940974334, 688586.3562558508 9325969.880711444, 688591.3870714573 9325957.467478352, 688597.1973538231 9325928.98279293, 688600.5380720753 9325914.208232446, 688605.5279658162 9325892.350584753, 688597.9267721057 9325890.06323311, 688497.3167279884 9325856.418307722, 688454.7268182313 9325834.12479121, 688414.4100233186 9325813.018467698, 688369.6086596495 9325802.023300435, 688335.8964883715 9325821.693358954, 688313.0795599027 9325838.641640786, 688295.4422095739 9325851.724981137, 688280.1651820323 9325858.563500306, 688269.8359181662 9325858.231129818, 688269.8127669842 9325857.910487108, 688259.4726208685 9325854.127690405, 688204.6810107373 9325841.471857369, 688172.2426124249 9325833.30188394, 688163.6455612257 9325831.139274217, 688127.4359773353 9325824.120261714, 688123.0140872636 9325840.092561238, 688119.6652161868 9325852.312424093, 688114.1057600358 9325872.634554854, 688112.1762515123 9325903.186021926, 688112.8358207189 9325887.66794888, 688043.7834189609 9325863.57751101, 688016.49030656 9325854.694519171, 687976.9800441182 9325847.0775605, 687969.1389894228 9325845.941044044, 687968.5960775907 9325842.271116778, 687959.1573552864 9325839.989479402, 687947.2348620119 9325836.39962358, 687934.4833882097 9325829.69369688, 687913.5531757002 9325827.105402729, 687907.031729003 9325830.211435989, 687844.4214324681 9325823.463378498, 687845.4193371311 9325845.080859099, 687854.6310476273 9325856.133127326, 687854.6310824335 9325856.14418636, 687813.8883913489 9325857.89809553, 687815.683417692 9325872.512629896, 687791.9328712765 9325881.268781628, 687783.4077531311 9325863.258148171, 687758.1795954646 9325859.765411394, 687750.3002970226 9325888.69877866, 687736.4232526777 9325893.674800342, 687712.0056564029 9325901.526163567, 687663.3140461841 9325917.12887106, 687652.0901102088 9325889.250909261, 687590.8143262842 9325909.095584055, 687548.4287731962 9325919.978241447, 687493.4372999764 9325935.2356358, 687488.2708877338 9325915.113200739, 687423.598124532 9325924.860315561, 687351.1033068303 9325928.936460158, 687242.9740492827 9325925.769991286, 687222.1385402867 9325918.060789727, 687174.7716673713 9325914.858424217, 687159.1829964836 9325875.282527763, 687158.9482087563 9325874.542303886, 687152.9557441149 9325855.716377981, 687152.765651517 9325855.10872323, 687152.6441272143 9325855.186518017, 687149.0278441584 9325849.259117503, 687098.2497067103 9325831.3477382, 687069.9054194271 9325822.522948315, 687067.9648750667 9325835.589828862, 686910.678734884 9325805.382550018, 686848.3438361213 9325794.529703103, 686802.9001125151 9325793.842526762, 686721.1364638587 9325768.419198267, 686718.5394089221 9325766.270802483, 686718.657819305 9325765.197700942, 686717.240898824 9325765.202134052, 686679.4381485444 9325758.319996495, 686677.6000269112 9325765.226612857, 686187.5141462927 9325717.699625853, 685969.1682664268 9325701.570724564, 685820.6666807197 9325690.598293222, 685736.3861765142 9325684.921983782, 685583.2758846855 9325672.680484155, 685580.9727854345 9325672.488584582, 685578.883255196 9325659.102604087, 685558.309173806 9325656.999019565, 685555.8713619295 9325638.405322665, 685534.7456982688 9325633.35068848, 685492.4725568783 9325619.779995034, 685483.9959566025 9325609.996996006, 685476.4016958049 9325609.854718886, 685449.3600776605 9325606.8311908, 685441.6801280745 9325579.119043693, 685430.4503007183 9325499.108776903, 685433.8001207075 9325490.60503848, 685436.2821125758 9325473.566435188, 685436.234739765 9325458.32725526, 685422.6912613099 9325449.511082595, 685423.4549248703 9325420.976442996, 685424.1829328501 9325384.534715898, 685426.5883460721 9325342.867916433, 685432.460114692 9325330.187084366, 685431.5276751659 9325300.872525131, 685432.2378090099 9325258.691219423, 685424.5190467837 9325222.054574033, 685416.0453182863 9325213.178413307, 685382.1876652858 9325189.650564196, 685357.686976693 9325184.927119054, 685346.6570328721 9325169.20230971, 685332.267256892 9325158.752034133, 685312.8250104781 9325153.902261514, 685273.9721169772 9325150.804831365, 685260.9946044821 9325149.54019254, 685158.2373611468 9325139.463921258, 685132.0365440681 9325132.633404009, 685120.1986896145 9325131.199312724, 685120.451850545 9325120.039992264, 685102.8572200399 9325107.719595948, 685025.5166321208 9325112.13996607, 684987.7870786444 9325114.29189853, 684885.8769851425 9325127.447500365, 684849.7117690998 9325130.73356646, 684823.411303734 9325127.44210974, 684823.40989452 9325091.279222535, 684829.9895935478 9325074.83622634, 684866.1445877608 9325068.265674569, 684892.445035501 9325071.557106037, 684899.0238313302 9325058.398619784, 684895.7405442449 9325041.964081459, 684905.5976929393 9325022.23744234, 684925.3204301905 9324992.648749828, 684922.0388597599 9324969.634104919, 684925.3291605168 9324959.78139264, 684935.1862795932 9324940.05474171, 684931.895355826 9324910.460023925, 684964.7738468833 9324861.145467658, 684974.2044903389 9324853.817260731, 684976.4933356573 9324813.765528087, 684957.0414385163 9324805.752835112, 684932.5142280023 9324795.975389315, 684873.3374189414 9324774.848324537, 684830.2128596501 9324757.741132712, 684753.2502386377 9324723.232466977, 684566.3947227628 9324654.571286982, 684500.4331732279 9324626.453554548, 684344.8472897798 9324564.186600689, 684321.1745931398 9324555.025615502, 684269.5955753038 9324535.04681586, 684197.7202729603 9324505.951810049, 684146.9821194881 9324485.80444246, 684065.8049840229 9324451.938482234, 684008.3176084377 9324432.762948398, 683961.8128051214 9324414.12851287, 683850.1831876037 9324365.647979256, 683807.0626315934 9324349.59079443, 683757.1833305763 9324331.442183595, 683752.1072558943 9324329.400884446, 683751.3314853882 9324329.104686897, 683707.2899301542 9324312.29827865, 683527.186363851 9324238.869407311, 683340.3289927389 9324168.358346207, 683237.1608435961 9324124.539844519, 683091.7329183741 9324070.776536366, 682987.72090157 9324025.964992363, 682944.6046742182 9324011.11271914, 682935.7836871943 9324007.910632359, 682885.4287264781 9323989.630196026, 682818.6218314738 9323963.150329124, 682720.5390307526 9323924.115066743, 682574.2655121215 9323864.923439771, 682515.0705498857 9323840.731257558, 682469.4117906296 9323823.265553532, 682434.7473213 9323810.233899398, 682396.7039127991 9323796.272582816, 682320.3246597695 9323766.81360481, 682230.1369941056 9323732.033294996, 682089.7708191709 9323674.879587587, 682013.6707884936 9323646.10509285, 681907.9867763666 9323604.084025145, 681872.4693701688 9323590.74507154, 681788.7654781918 9323558.465825157, 681760.8667089674 9323546.109888803, 681758.6502147877 9323548.859253889, 681731.4126625559 9323582.638755525, 681736.6248549 9323629.29112544, 681747.1283155836 9323748.484365221, 681736.4563778777 9323849.550494982, 681728.4543955716 9323907.888174474, 681710.8474547972 9324036.147007182, 681679.2165711957 9324186.477799434, 681678.9083218098 9324190.658978656, 681669.4804341913 9324318.660545565, 681674.6211980262 9324341.945820298, 681681.9693954301 9324355.868589569, 681713.6891355222 9324415.965041082, 681734.963424493 9324459.206523377, 681774.0257465485 9324538.600354064, 681774.1149002558 9324567.817525847, 681762.3819497601 9324597.01547381, 681729.527889492 9324622.318783997, 681667.0839498478 9324639.860531554, 681612.1353863141 9324654.249708498, 681548.0950819112 9324671.022061173, 681511.0116444605 9324692.434337175, 681456.2842611349 9324746.756068666, 681432.6928746626 9324767.706952414, 681385.4190584816 9324772.44027719, 681344.8496596351 9324765.076935925, 681299.1802533674 9324740.488400437, 681283.0987189789 9324730.296869563, 681194.405553485 9324724.771826994, 681199.712474724 9324733.602733783, 681224.4668763299 9324774.754685024, 681232.2456072378 9324784.683954742, 681230.2386750355 9324787.211466428, 681206.9313777087 9324788.764224727, 681217.4664977255 9324809.655450651, 681233.6647301519 9324858.220708497, 681217.5801927238 9324847.044930177, 681187.1532551157 9324837.007577516, 681127.9725230513 9324817.46962988, 681123.7511454376 9324816.166462647, 681092.5156741515 9324820.530085739, 681019.8994036483 9324827.34174831, 681019.2105762728 9324822.865027964, 681010.4273354698 9324766.469727488, 680988.9298601004 9324715.16691994, 680949.1797028157 9324620.31472687, 680890.5915877587 9324515.135541696, 680890.2352923374 9324514.450978614, 680840.4761290834 9324418.733421475, 680823.4514178219 9324374.914897984, 680747.0488272293 9324246.37833475, 680720.4018282406 9324197.84480288, 680703.7391870414 9324167.516899418, 680683.3119554305 9324114.950150622, 680671.330449761 9324062.357770262, 680669.3626288148 9324041.296762781, 680653.8713125158 9323875.362524431, 680654.5133984681 9323868.094955398, 680654.909188452 9323863.559653193, 680653.5659317154 9323858.631514147, 680659.5418661427 9323810.773079153, 680662.8479669362 9323773.14106222, 680662.6884342162 9323720.601268467, 680661.2316112418 9323718.371817965, 680610.091964189 9323641.679615805, 680605.4514959129 9323637.20383921, 680603.5982410675 9323635.650177516, 680589.2097617819 9323621.505443646, 680534.4786758063 9323568.62261403, 680529.3830486749 9323563.70586482, 680523.6989882113 9323558.204786075, 680523.5657578323 9323558.0724851, 680527.7831290002 9323554.44346543, 680532.5524712615 9323550.32618383, 680538.8674740561 9323544.88821569, 680547.6857238044 9323532.696793571, 680547.6534646263 9323522.069405718, 680547.595087993 9323502.838367676, 680546.7155775407 9323490.234030362, 680545.2805860532 9323469.669059023, 680549.651095163 9323450.855867907, 680570.5209291715 9323397.710364085, 680600.2828071621 9323356.70249537, 680598.0421508616 9323347.862275448, 680591.4939133604 9323316.585812546, 680590.1797042516 9323310.286298793, 680596.7572414235 9323289.254636554, 680606.6722440119 9323273.742225295, 680614.0310603472 9323265.768607022, 680621.014808072 9323258.216360472, 680625.4154982646 9323249.355964886, 680623.6279936192 9323247.58093131, 680606.5412310358 9323230.613372969, 680601.8673281746 9323229.698633512, 680595.4656003868 9323228.435261235, 680575.5214073037 9323221.860572573, 680559.9779139447 9323206.425489262, 680526.6536642213 9323167.820965772, 680517.7884726588 9323164.530253058, 680498.9780660634 9323166.799125439, 680482.36800888 9323164.637800772, 680457.9996582764 9323159.182390997, 680448.0309421817 9323157.000896608, 680444.6934910035 9323151.481640058, 680441.325829264 9323136.0095783, 680435.7611753733 9323126.073572654, 680425.4397724932 9323124.390791532, 680421.9207066149 9323124.67794198, 680397.1207613182 9323159.367165789, 680381.6176062523 9323157.202455519, 680368.2778996895 9323138.443021396, 680357.205661179 9323137.37073894, 680351.6812852353 9323140.70513079, 680349.4943490798 9323149.558781518, 680353.9722291636 9323166.133350927, 680346.2575563492 9323177.215525042, 680335.2020854187 9323181.672570236, 680315.2982096957 9323188.368205342, 680307.5466326072 9323187.285839416, 680283.2064512236 9323180.160400802, 680260.6897072737 9323281.58226141, 680221.4957934396 9323263.796938147, 680148.5947592894 9323230.71994573, 679980.382298839 9323180.502918547, 679953.3698334898 9323179.124937847, 679823.2893658043 9323172.48519592, 679819.9152693001 9323173.125750493, 679781.06292827 9323173.0331439, 679745.8936808517 9323175.649825813, 679710.1379200937 9323178.312494088, 679662.8828429303 9323188.739949977, 679662.8163963582 9323188.72909205, 679607.1325061212 9323182.73763591, 679596.4153937931 9323178.29122724, 679558.9332054341 9323162.734230682, 679514.0563091584 9323124.96044456, 679473.6319633947 9323084.441690054, 679467.4700983688 9323078.278467143, 679434.8379665262 9323030.304710379, 679416.0894220119 9323012.700527718, 679394.8081343506 9322995.767510496, 679381.2879199642 9322986.751226226, 679360.7492756177 9322973.819217265, 679329.4614688109 9322960.46623313, 679283.4765627566 9322951.570005048, 679262.7117645427 9322948.049620926, 679260.1759433787 9322947.70339122, 679259.6665453773 9322947.627516776, 679224.6960904312 9322942.690218773, 679202.5556779881 9322945.488489432, 679185.8504081639 9322948.392009392, 679176.637841725 9322950.985407518, 679137.7771517532 9322962.725265045, 679087.2475968777 9322962.700616332, 679081.8019200077 9322962.77231999, 679081.4474855454 9322962.695977082, 679080.3405734785 9322962.688253898, 679042.3144431291 9322953.845276454, 679005.102509348 9322936.020157868, 678962.778686581 9322900.450142069, 678922.104036028 9322853.80538485, 678886.4676548212 9322800.43281727, 678854.8741665136 9322751.637432506, 678846.2853082864 9322740.79259002, 678819.4790564692 9322708.515539432, 678805.1219580274 9322693.529988019, 678805.0109712197 9322693.430793831, 678776.2982883118 9322671.311353842, 678741.6274241444 9322655.491171196, 678710.3515696034 9322645.986329893, 678672.3238179138 9322636.501784522, 678634.2770613004 9322620.691706512, 678612.2595283429 9322601.725919858, 678590.1468765392 9322551.121518256, 678589.9946405371 9322500.495317604, 678588.9860339358 9322481.643293148, 678586.0808181756 9322435.747429416, 678598.7698572968 9322367.233885966, 678606.3745808842 9322323.241674874, 678607.0052607823 9322323.162366824, 678612.1494202419 9322285.4367703, 678618.9442078646 9322211.38947581, 678618.0273997921 9322178.912869733, 678623.8941944914 9322112.83061477, 678619.2108325444 9322057.230568007, 678618.226982078 9322046.617188659, 678610.1314693441 9322008.411669971, 678608.5535285419 9321995.322932966, 678605.3154520167 9321978.611943139, 678583.2234833713 9321931.170313234, 678575.0937053086 9321914.673102805, 678558.1563486531 9321880.80708554, 678537.4056016528 9321845.017273761, 678526.3263184087 9321826.770607727, 678491.5895158979 9321788.855373753, 678447.5849878675 9321757.194047125, 678371.4721183658 9321722.411182014, 678359.2561872574 9321716.321406964, 678352.5948966411 9321713.311358456, 678324.0827850568 9321698.799628124, 678308.04244449 9321690.79713301, 678307.8091414232 9321690.510308804, 678306.0686923772 9321689.619788053, 678292.9437618586 9321672.020656465, 678269.9012940003 9321643.348425586, 678257.5690635785 9321605.91871035, 678249.3895510777 9321583.881244346, 678247.7265560278 9321531.423904872, 678247.5989194135 9321529.466903638, 678260.9520050127 9321475.692677118, 678261.8981088686 9321473.765623907, 678262.0730767238 9321473.057342866, 678265.4625837454 9321466.533594867, 678282.7679167244 9321431.436630053, 678301.8045714744 9321405.247739729, 678317.2587273801 9321383.979665374, 678318.6492285803 9321382.604207547, 678322.981170807 9321376.619493665, 678363.2001094621 9321338.43454404, 678377.8775261542 9321323.892456638, 678378.5839103549 9321323.226810494, 678408.6164591626 9321294.992097124, 678456.5588566877 9321241.345886795, 678469.6284065999 9321225.846498944, 678516.7512594601 9321172.08103142, 678517.9331495826 9321171.270187598, 678521.7826735759 9321166.824059784, 678547.270159719 9321151.02183224, 678558.0506526739 9321143.59109262, 678561.5882166815 9321142.14280537, 678564.085049012 9321140.598125206, 678639.1745227261 9321107.74870389, 678663.122717552 9321099.050732542, 678691.242165959 9321086.15998588, 678704.5048938524 9321079.69489223, 678708.7003881142 9321076.198751466, 678751.1141404341 9321039.234311676, 678782.0668842434 9320993.258390628, 678783.1021760271 9320991.552227164, 678787.1194164717 9320969.33423589, 678787.1737908165 9320969.013369514, 678787.2064287703 9320968.82527312, 678792.2019438383 9320944.348353649, 678789.5335991973 9320900.055250231, 678769.9858375641 9320855.768849377, 678735.1822780033 9320795.659248136, 678694.4667173558 9320738.719208289, 678668.9894786719 9320688.125119668, 678634.2704509055 9320659.654177872, 678612.2072807293 9320621.700932855, 678592.6295247825 9320571.07798845, 678573.8945472445 9320517.300776819, 678555.1104720021 9320450.905748945, 678532.9615635086 9320384.48769598, 678523.4542768656 9320314.901913734, 678523.234817287 9320242.136394909, 678523.1141045416 9320202.115358848, 678386.1094482201 9320198.204504946, 678228.3745663897 9320194.510590736, 678216.5822377505 9320174.618367836, 678175.6225405326 9320183.356400743, 678161.2982453323 9320186.407481756, 678164.9885270742 9320202.619445723, 678048.0549974231 9320203.723321121, 678019.588098121 9320203.996948307, 678020.5305427834 9320211.901059462, 677996.3359682277 9320226.880906187, 677879.3572054084 9320227.652811524, 677833.4689094936 9320227.96764197, 677831.9968367869 9320227.972064883, 677829.8990630991 9320226.020985555, 677704.8967764985 9320223.410588393, 677696.0465836492 9320217.520782137, 677685.7287165297 9320209.412592735, 677672.4600302572 9320210.149120646, 677644.454986973 9320216.779901937, 677618.654788279 9320213.097393936, 677455.0931975159 9320218.697106507, 677388.3504655511 9320225.775648251, 677361.4610856439 9320220.581263065, 677324.668204582 9320212.563411983, 677253.9126726219 9320210.209754143, 677185.2740049686 9320208.789659156, 677084.322854727 9320205.962201044, 677065.4556858132 9320207.378858818, 676965.2129601593 9320204.549080541, 676893.9804149009 9320205.49189134, 676877.4721978295 9320207.376957862, 676867.5647027506 9320206.90892825, 676846.8126848964 9320199.827078033, 676828.6428263604 9320201.241575854, 676754.5921398008 9320203.59708192, 676750.1863851183 9320203.40012586, 676691.3728800523 9320200.766851341, 676588.5407684537 9320205.486135814, 676555.0524708414 9320206.902015872, 676531.4658673934 9320203.135039942, 676491.3599688129 9320201.241986046, 676455.9898935615 9320198.881384231, 676419.6599055091 9320201.245640028, 676328.8586943296 9320198.408769164, 676300.0786731414 9320201.24809268, 676259.0376314544 9320201.237627868, 676234.507971096 9320207.846293908, 676212.8130070015 9320211.1510529, 676212.3620763314 9320141.483360423, 676204.0948485519 9320141.729147594, 676185.2692270097 9320142.205422359, 676150.0528091489 9320143.095413616, 676121.3458965436 9320144.452588815, 676107.8467868622 9320142.115167852, 676107.8248480714 9320142.181584572, 676107.6474620485 9320142.082585284, 676098.5333351057 9320140.406686332, 676091.2200003772 9320133.892832195, 676088.012793228 9320131.038205415, 676038.0997294141 9320177.223522244, 675974.5271905969 9320159.718877722, 675974.5251048729 9320136.683891987, 675997.5681846415 9320073.106018202, 676009.5431603066 9320005.856426507, 676021.4154615202 9319915.273549344, 676026.415421861 9319877.117668066, 676028.4227158454 9319848.691172216, 676030.8549883259 9319814.302841842, 676035.8248299917 9319780.913287874, 676038.2826591451 9319755.117387464, 676038.2327285204 9319738.34168514, 676040.5737390369 9319714.204916792, 676044.5470494172 9319673.254261276, 676058.5587105107 9319609.857993294, 676051.1911912344 9319547.951928155, 676045.2850933305 9319467.606874445, 676059.0590789602 9319458.232422829, 676058.9760073802 9319452.637032636, 676057.9246552436 9319385.780034887, 676054.2674872915 9319373.051451512, 676055.004961928 9319360.530951085, 676064.5813918784 9319346.5243921, 676073.4272325735 9319336.202511555, 676084.4911747331 9319323.67336492, 676091.816251721 9319315.578783637, 676098.490425622 9319308.193888938, 676100.5016083414 9319273.685143061, 676101.0071039156 9319265.03583123, 676101.9340971713 9319249.263541013, 676101.070039322 9319249.011768354, 676081.773101449 9319243.506799953, 676080.3374248159 9319233.425657613, 676080.3345159885 9319217.589787979, 676083.216773534 9319193.119633788, 676091.5462573597 9319087.529656922, 676091.8558570491 9319083.713525767, 676048.665951293 9319086.584750494, 676038.5867270103 9319024.686772184, 676131.4375615441 9319010.288241575, 676121.188136813 9319002.710495131, 676098.3266251839 9318985.814786384, 676037.8656257691 9318949.833439497, 675991.7421617308 9318915.335418977, 675883.8326796079 9318834.663871525, 675830.6348193293 9318795.719177622, 675811.5793235525 9318770.872020055, 675797.1648479373 9318750.932105787, 675789.5216682067 9318741.37814193, 675783.0449584948 9318733.280435821, 675780.2120943731 9318729.73906956, 675772.120371972 9318721.944751132, 675763.9954153203 9318714.139472483, 675763.2739327127 9318713.44493048, 675753.113724971 9318702.339198867, 675742.943440439 9318691.565253241, 675724.9564675533 9318683.590266237, 675725.0328234787 9318683.214048011, 675688.7480006779 9318640.890326962, 675678.5956825269 9318632.427560791, 675666.7500252918 9318623.980889915, 675645.5981362624 9318612.443388926, 675618.552741705 9318602.814424649, 675590.6531320033 9318592.513418876, 675574.5887598341 9318583.437884685, 675542.4739647248 9318577.417995498, 675531.9014254357 9318576.509451304, 675535.3828959131 9318589.747244094, 675477.8005012108 9318605.94224091, 675330.2445043124 9318595.145102497, 675252.8624295109 9318604.144253932, 675220.4785964589 9318596.952789305, 675218.6806358588 9318591.550501386, 675209.6786591935 9318575.354344882, 675191.6869624646 9318532.168866074, 675177.2903895065 9318506.976012092, 675159.2952207264 9318496.180985458, 675126.9007737626 9318485.384438053, 675123.7949082775 9318434.568644417, 675112.2219189408 9318424.716650434, 675110.2937570362 9318345.576468712, 675118.5790060761 9318291.818485111, 675125.1924036897 9318241.593128344, 675125.1459013238 9318240.841286194, 675124.2054836594 9318222.30997794, 675122.5012614282 9318188.81874308, 675120.6994691753 9318152.286701623, 675119.8321668655 9318143.47562586, 675119.4623526856 9318134.475078588, 675118.6149090868 9318113.</t>
  </si>
  <si>
    <t>Tangerang City</t>
  </si>
  <si>
    <t>POLYGON ((686723.313835565 9325724.883833172, 686758.4959296312 9325630.119025504, 686776.0838872993 9325579.99948671, 686791.1372914902 9325537.098394675, 686803.6543429513 9325486.696113355, 686808.5260486527 9325426.928599764, 686801.5966935054 9325370.471533727, 686802.6965206445 9325368.18991678, 686817.5441076886 9325337.365965571, 686813.9610629474 9325271.354422214, 686809.4255174235 9325173.38509299, 686803.2159954523 9325078.174722861, 686806.5313983798 9325058.755630814, 686808.8087191428 9325040.12498624, 686810.6000362509 9325025.366545849, 686811.3662903586 9325019.082581025, 686816.9948381411 9325017.1959559, 686842.8851848786 9325006.088898532, 686879.7979827 9324972.862260949, 686898.2135610651 9324939.70465009, 686872.0695826772 9324869.904203014, 686853.4344572274 9324829.497406065, 686853.198460499 9324828.370118428, 686854.7786023468 9324823.94152658, 686858.5133906296 9324814.728650182, 686862.3249705273 9324805.294350524, 686890.9189239423 9324766.81856259, 686906.048409861 9324744.785626242, 686921.2152144063 9324731.124302633, 686927.8408203415 9324729.49994894, 686941.8442379391 9324726.082992667, 687015.5113375378 9324708.0577347, 687120.3708217302 9324682.414229093, 687247.0438755526 9324679.95928151, 687316.2982605272 9324680.847511293, 687358.5044209418 9324673.061897198, 687397.8537721661 9324665.00875751, 687399.8561034104 9324664.604331238, 687428.8942701784 9324651.330514956, 687429.3695985605 9324651.118896289, 687471.4992568766 9324619.025472663, 687559.1307136026 9324553.578198193, 687569.3215810355 9324545.196467046, 687577.3594635597 9324538.590973992, 687623.9857558283 9324500.26800296, 687676.2050154933 9324452.316964952, 687759.5283452278 9324361.778582944, 687826.8918307804 9324300.187904306, 687864.7923393212 9324268.052113736, 687892.1594145478 9324240.959321912, 687892.5787631505 9324240.548810093, 687845.8720760543 9324158.537768397, 687788.1366841657 9324061.366249988, 687770.3582138261 9324047.078621607, 687728.0480349632 9324021.742865164, 687701.8437514077 9324013.862921149, 687676.4987107518 9324011.675715234, 687634.2790425887 9324015.027027294, 687587.8504012921 9324021.078942496, 687494.1055154705 9324018.476809273, 687493.0309470096 9324018.21477492, 687412.959695264 9323998.903341744, 687410.9985662245 9323998.323382895, 687382.5348933656 9323990.030180264, 687247.3466521717 9323959.501150081, 687198.2960906676 9323948.419383336, 687136.5895900977 9323932.688312866, 686989.5289215912 9323896.611251954, 686910.0771790656 9323873.492956506, 686915.9059235146 9323847.275639826, 686918.3056391337 9323804.237140281, 686920.5900462307 9323728.021696934, 686923.7841095438 9323666.53411546, 686930.7553625641 9323468.487919519, 686927.3041553072 9323444.611104319, 686921.3364738161 9323426.592464343, 686963.3963061988 9323372.569234861, 686977.6271174792 9323332.446291588, 686986.1803675827 9323275.055810215, 686986.722526503 9323271.459895529, 686988.3376913967 9323246.516530123, 686987.5308637185 9323215.232854191, 686985.4465524935 9323133.247190263, 686984.7036076523 9323125.795688977, 686983.2745944168 9323111.379108269, 686982.828597799 9323106.835218152, 686973.753371547 9323075.677083306, 686973.4289555186 9323074.594311316, 686960.7243228883 9323061.451818738, 686947.831040517 9323044.638295252, 686946.3083690593 9323042.674563685, 686942.0669353995 9323035.035003098, 686924.2296046186 9323001.869553119, 686897.148380121 9322954.289984833, 686888.5553644227 9322939.177096112, 686872.0068796547 9322904.005894832, 686871.5500530025 9322903.05624861, 686863.9081620285 9322887.674950449, 686823.3397849919 9322806.860955916, 686819.7085021868 9322799.639722325, 686801.018589463 9322762.83850859, 686794.9337785551 9322739.235404685, 686790.7539489154 9322723.01378967, 686790.6755609644 9322722.726499565, 686779.6617388417 9322684.021106614, 686778.7925178127 9322678.649117818, 686735.1177507958 9322486.402381537, 686711.9903308176 9322383.072551781, 686691.4370149018 9322292.220355827, 686690.5690604685 9322283.729699979, 686708.2741569197 9322274.926278438, 686707.4087036652 9322267.23186925, 686708.2258833387 9322259.576404745, 686709.0386106601 9322250.505389834, 686709.7874522917 9322217.602222959, 686715.5669346994 9322175.813836617, 686728.1542680142 9322151.731764417, 686744.9886718601 9322133.586119784, 686793.0471943631 9322107.810964707, 686814.1194324514 9322096.187883506, 686841.0370989644 9322060.249540454, 686856.1501698928 9322033.306218635, 686880.4448376026 9321972.902298778, 686924.9287730905 9321884.167675156, 686930.8105511023 9321874.925848274, 686933.3300516636 9321870.062961608, 686943.4048548635 9321853.110781565, 686956.8781870123 9321839.775277467, 687015.0699729386 9321815.704196718, 687054.6750228156 9321787.577660367, 687074.0626334583 9321775.329381833, 687111.1903946178 9321765.458150564, 687162.6583063633 9321750.37704232, 687166.867069246 9321747.66533795, 687164.1920437869 9321703.227166831, 687160.7239972798 9321674.075204799, 687152.0848629097 9321612.768574787, 687152.0664029187 9321606.918357652, 687150.3266941559 9321588.786887659, 687172.1026170418 9321533.654796502, 687184.6720274307 9321500.504107919, 687194.6918680714 9321466.189193783, 687199.5869672952 9321410.911293779, 687196.1198920686 9321382.080042284, 687183.3439470321 9321349.79455745, 687158.7545077051 9321316.595284205, 687151.1150625695 9321305.493923299, 687147.6962519231 9321291.946231442, 687150.889086877 9321283.000380738, 687151.042654669 9321282.557531016, 687150.1894098923 9321278.755886387, 687117.1069494765 9321234.037698532, 687078.9435881054 9321182.213468824, 686961.9029890447 9321021.639474055, 686889.8306614752 9320929.589598589, 686827.9040867395 9320843.092549533, 686709.3119644952 9320727.179960813, 686589.2648946282 9320686.849707088, 686589.29520922 9320685.931706607, 686589.3458148304 9320684.427510105, 686589.7854926316 9320669.3968132, 686591.5572457127 9320609.904351538, 686597.3283889553 9320565.594484914, 686598.6600817495 9320556.1458198, 686599.0063702684 9320553.63431357, 686599.327362991 9320553.633302104, 686602.0882211064 9320548.10611283, 686611.2721389004 9320526.014272084, 686615.8264010984 9320503.00805445, 686623.1125428444 9320465.284623668, 686635.8942845934 9320408.234677624, 686648.5919206479 9320324.521494476, 686662.2198006271 9320244.488043483, 686677.8231272672 9320201.219862511, 686720.3525588231 9320188.212910047, 686720.9605671391 9320187.967691582, 686721.2794298169 9320187.29208023, 686726.8155870533 9320180.838215085, 686727.8593980429 9320178.390859624, 686724.808994568 9320176.332430847, 686725.3065604742 9320176.164974477, 686726.1440528347 9320171.4732716, 686726.925047275 9320152.382791758, 686728.866448034 9320108.1623624, 686732.1056990037 9320099.913107572, 686739.2291528316 9320010.698936623, 686744.5011936531 9319920.572694125, 686746.2829058447 9319899.422056982, 686738.574136889 9319894.348141652, 686739.5627838203 9319874.427569149, 686741.1326950614 9319838.779110843, 686741.9262884369 9319823.691983128, 686748.1091035301 9319639.947501415, 686751.3484576171 9319596.696156869, 686751.2308954779 9319559.471567692, 686732.447644101 9319496.460793857, 686721.1427468234 9319467.211979289, 686720.9083870075 9319466.604468517, 686722.6951301283 9319464.586067986, 686736.5657903613 9319458.105858402, 686775.3774227502 9319438.674052082, 686774.4314702721 9319423.03945812, 686773.4273095694 9319406.498201022, 686775.2002095211 9319382.582802163, 686767.2323190612 9319383.061399734, 686769.6438204095 9319382.600357333, 686780.4108899608 9319273.158550156, 686782.8264044325 9319161.896251043, 686786.2000789964 9319056.138354113, 686786.9612442189 9319002.808905711, 686790.492402783 9318950.388604265, 686783.664968399 9318950.974205505, 686790.4458972691 9318935.680130519, 686791.1924792216 9318877.750133144, 686793.8194671657 9318829.933276828, 686792.8461098275 9318816.145639854, 686792.7664276992 9318815.449167663, 686805.9742808453 9318816.435894627, 686814.7536907009 9318817.09379272, 686839.253869216 9318818.852111353, 686853.6079427833 9318818.286925955, 686865.4309913643 9318818.879892623, 686885.7012277576 9318820.076500408, 686901.7357072579 9318818.875616629, 686932.9709674285 9318815.348443637, 686960.8301892253 9318811.776643815, 686967.766719825 9318810.693011293, 686976.0197607024 9318809.406146163, 686992.0652755892 9318808.194142524, 686999.6607243954 9318808.966352893, 686999.6502205695 9318805.648648726, 686999.6499404667 9318805.560176613, 686999.6384912371 9318801.943879075, 686997.8946802125 9318782.55169527, 686997.8788189458 9318777.54196198, 686974.0106444184 9318706.208764777, 686957.0045694654 9318673.206885515, 686942.589924156 9318654.628957048, 686929.8724591129 9318637.217921777, 686918.8410686979 9318620.96275621, 686897.2504154949 9318468.359939573, 686892.946725982 9318441.002240798, 686892.8455747267 9318409.052761357, 686900.3000299004 9318365.312453512, 686907.8097642312 9318335.539636835, 686910.265435795 9318310.593540452, 686910.2484151677 9318305.218861042, 686906.2332836385 9318299.08270438, 686890.7290165701 9318275.43210455, 686887.3351492758 9318269.74740429, 686887.2210876117 9318233.72820813, 686900.5445870861 9318173.41379946, 686906.3480782344 9318160.588954143, 686908.8760932664 9318154.996089859, 686931.5624226953 9318104.859572675, 686939.0838106639 9318078.79150554, 686936.4021500347 9318032.395916063, 686922.7319440694 9317979.75356307, 686898.0290824698 9317913.919458466, 686885.2092460913 9317867.655530723, 686866.4482943793 9317808.227955762, 686862.8502611856 9317738.10240598, 686860.0608028946 9317657.689310841, 686858.9390247387 9317569.15353417, 686868.7583369166 9317471.934839241, 686922.8438401431 9317383.069170278, 686923.3063520568 9317382.326742021, 686936.8056321841 9317360.1324977, 686960.4277665863 9317353.941872567, 687021.1827098391 9317340.41180581, 687045.4318116526 9317336.475215554, 687050.3878088233 9317335.663229126, 687056.6381459209 9317334.648069816, 687092.078054119 9317327.479849704, 687097.1458908477 9317327.032455407, 687098.8153627237 9317322.96845273, 687107.2491495053 9317319.413813595, 687123.2966106038 9317318.942616967, 687143.5583284408 9317317.60648046, 687169.7043365869 9317308.034708802, 687193.3158766371 9317298.51521014, 687213.5571811039 9317290.75375071, 687232.9898037999 9317293.224559154, 687238.0581668294 9317292.94303711, 687246.501995286 9317292.551257651, 687294.62593847 9317288.815171838, 687298.0089258576 9317291.071545204, 687307.3173788972 9317298.053459713, 687316.6151135181 9317301.662367573, 687347.6981782902 9317299.252202315, 687347.8530971382 9317299.240650684, 687386.7037942167 9317299.59267655, 687403.5730004837 9317293.003077947, 687428.8662116065 9317283.268001283, 687464.2965215925 9317269.607843142, 687475.2600067591 9317264.507873293, 687480.282753851 9317253.366383668, 687483.6306709147 9317244.59688096, 687502.114915936 9317213.373365812, 687511.3688807775 9317203.224790044, 687518.10701571 9317195.506173782, 687524.4031626732 9317188.021205183, 687524.833235996 9317187.522174362, 687530.7205994873 9317180.27074789, 687534.0930353911 9317179.209394524, 687540.4313780711 9317178.028009549, 687544.2255643368 9317177.330265427, 687561.1061323839 9317174.323738705, 687567.8529746825 9317172.820334503, 687572.1245337741 9317172.574494382, 687601.6270312904 9317170.86593228, 687604.6679154584 9317169.96045827, 687631.1510891505 9317162.024125583, 687661.1790981895 9317151.554999242, 687702.0087915165 9317137.32450508, 687703.5787397396 9317136.777604414, 687729.836551897 9317127.59225136, 687740.8231851836 9317129.769078184, 687758.550984177 9317128.661966078, 687763.7503982636 9317127.827018086, 687772.0584419649 9317126.506618218, 687783.8694440667 9317123.405585134, 687804.9704855885 9317118.018866252, 687804.3461932498 9317116.616341237, 687786.2527932611 9317075.943080943, 687774.3443038743 9317048.454758924, 687764.1285740744 9317024.223497506, 687773.4010781839 9317016.441462936, 687827.3959369358 9317003.827757686, 687866.2044893142 9316990.997010423, 687958.1903947911 9316972.986768132, 688019.7758294351 9316952.750983255, 688127.169933377 9316921.276463307, 688131.1286439102 9316920.113663374, 688150.0458821735 9316910.232675744, 688150.5210337531 9316909.987855693, 688210.3753638169 9316877.99038114, 688253.4097045751 9316867.943805166, 688382.4492254967 9316817.963854741, 688482.7866799752 9316770.807059184, 688643.8428889727 9316699.047861578, 688673.3357426059 9316680.550823597, 688723.0803992406 9316657.664700001, 688768.5925176577 9316629.937094096, 688807.3642380653 9316605.714714378, 688825.3758894172 9316593.060487337, 688826.6017157517 9316592.204995072, 688827.5845762272 9316591.51617049, 688857.9241488278 9316571.32423036, 688904.3079546699 9316553.137803903, 688938.8708873573 9316534.945036862, 688991.1260590255 9316504.607698226, 689048.4375061216 9316470.250613827, 689085.5383258181 9316453.100211076, 689116.5335158011 9316440.64745712, 689117.0309039392 9316440.435733356, 689218.7931238948 9316399.521234097, 689304.7172276201 9316334.69206181, 689369.5538807957 9316279.430478543, 689442.8297787444 9316218.976943163, 689511.9046868143 9316166.9639659, 689574.2256081143 9316117.67109838, 689671.0959658338 9316042.730885044, 689756.1904062105 9315981.763125572, 689988.8249808536 9315849.49507057, 689991.2423253116 9315813.20172219, 689998.8232085934 9315806.110340716, 690008.920589678 9315796.843204873, 690010.5373401684 9315773.115795726, 690014.6584680724 9315743.463570647, 690018.774643608 9315708.856795907, 690016.8645890938 9315696.620329967, 690015.3160727626 9315686.66091032, 690007.6491348095 9315663.693416148, 689997.489928424 9315657.245502288, 689984.7901804952 9315645.53051444, 689977.2927996748 9315630.503044942, 689977.1368832467 9315630.204947889, 689977.0804885806 9315612.753566409, 689973.6406813728 9315592.935370857, 689967.013311977 9315586.829939663, 689963.4831594013 9315583.578856183, 689962.6964768716 9315583.315975321, 689952.3696359405 9315579.788253406, 689942.3419887555 9315576.370156191, 689944.7807798111 9315546.723375797, 689923.5377405232 9315504.556586258, 689923.4709755556 9315504.446209086, 689915.8894006254 9315490.757186558, 689911.6070898602 9315470.52146358, 689910.5980906504 9315422.007619487, 689914.6592111393 9315370.369729817, 689918.5003017653 9315336.272583053, 689925.3326474435 9315275.678763835, 689930.4352490262 9315262.059341926, 689931.5216043477 9315259.158295922, 689934.7478232724 9315250.565856706, 689947.092908085 9315217.646672284, 689960.4254502686 9315171.784914913, 689966.555374225 9315150.70819869, 689968.7007173623 9315143.291534498, 689969.6421119404 9315140.059176467, 690012.3911239825 9315144.853369856, 690041.6634066461 9315161.170682326, 690051.1463648007 9315150.191300575, 690080.6850578326 9315163.322657173, 690081.2155534285 9315166.506019128, 690082.9895993024 9315167.484556934, 690223.6934822465 9315244.986198682, 690270.7840467246 9315264.298108079, 690391.5176161453 9315313.198391765, 690394.839951441 9315303.543903753, 690435.8906884864 9315310.179181574, 690472.731452148 9315322.368799003, 690476.0332808981 9315323.464028422, 690509.8501542844 9315334.933513474, 690546.6735784377 9315334.935774647, 690572.0284631175 9315324.070711957, 690619.7219023657 9315310.788597826, 690620.8138979228 9315295.987674896, 690626.2646139204 9315294.189440552, 690633.009022396 9315291.999932056, 690654.1207911973 9315283.305159254, 690657.1499649276 9315289.057241358, 690671.6347925698 9315291.465412335, 690687.9419561991 9315292.673258519, 690687.932963234 9315303.544610402, 690760.3799595047 9315308.971845202, 690760.7077614164 9315307.665779496, 690773.6006871971 9315256.109536404, 690775.7967955573 9315247.310233757, 690789.6594333941 9315187.633276356, 690804.1448737392 9315135.70687972, 690820.1487644167 9315046.970057847, 690800.8261514069 9314962.451005803, 690783.3243162555 9314906.912569987, 690762.3316571644 9314867.045498582, 690735.626007642 9314816.358835427, 690746.7459757393 9314801.702271033, 690745.4008382347 9314799.881850244, 690747.1120435917 9314798.549170967, 690746.9094093088 9314797.499192279, 690728.3152333772 9314773.649310198, 690713.4399006937 9314749.798406139, 690689.2478888076 9314713.093638279, 690678.0871599516 9314694.749275291, 690672.5072262755 9314687.41294156, 690687.2681631683 9314672.645025758, 690705.7488114531 9314661.558838466, 690727.9150017037 9314650.449610073, 690720.4748088862 9314639.447624672, 690719.5775611922 9314639.218293646, 690725.402539693 9314636.810552357, 690719.5155432656 9314626.9426326, 690700.8586730137 9314604.2210145, 690698.3145520401 9314601.27643717, 690700.8408526543 9314598.735642353, 690732.5538619043 9314575.938848682, 690747.1736032518 9314565.41814951, 690742.9362132003 9314559.105978623, 690714.0919770955 9314517.848848293, 690704.7644872488 9314505.072445357, 690683.5441657654 9314473.44533924, 690685.9534253506 9314434.88467123, 690690.0744070476 9314401.969759652, 690690.8888204639 9314393.738967976, 690688.4472593542 9314378.075824227, 690687.4411687551 9314371.5983233, 690690.8079242695 9314368.844667565, 690696.0860585757 9314361.650006568, 690699.2154302818 9314357.370933201, 690705.9151882152 9314341.479012473, 690710.5867205774 9314219.169686304, 690731.3424596406 9314111.317903087, 690747.1164178426 9314026.939148808, 690753.7243504332 9313996.449176537, 690753.7679018255 9313996.227848088, 690767.91290245 9313931.683764232, 690770.2437913436 9313920.119170267, 690771.8448009125 9313912.140176933, 690772.3784826016 9313909.484198855, 690774.5893510627 9313898.45084298, 690769.0966709371 9313866.894293087, 690791.0585246943 9313857.72099996, 690803.9867581553 9313851.242394995, 690800.9116645777 9313756.551245797, 690799.6738012745 9313661.865175443, 690794.9756809392 9313639.806017507, 690797.6189869001 9313598.424408851, 690795.6339497822 9313559.822701262, 690792.7892109937 9313535.921660464, 690773.3374411319 9313534.149128906, 690746.9829235343 9313536.855971888, 690745.5888725588 9313537.004280355, 690728.9290967593 9313536.129513511, 690722.3567439269 9313509.497891659, 690719.5159370729 9313490.197528623, 690720.0459766856 9313486.424568705, 690713.2566986589 9313481.558434868, 690675.199351528 9313462.538557451, 690648.4686293649 9313451.654663526, 690624.9296296813 9313442.065379286, 690583.8804804306 9313425.34447193, 690523.8408187071 9313398.908843005, 690441.8337609593 9313369.647025783, 690376.7257452023 9313339.954193631, 690324.2982668479 9313316.12579349, 690315.7320675806 9313258.258081358, 690314.7928763555 9313251.924142186, 690314.9903315622 9313251.38159407, 690317.3047434042 9313244.95966998, 690315.5436530653 9313220.701243442, 690309.5820370606 9313204.850487217, 690301.1025592077 9313194.117316332, 690305.2877762889 9313184.404696904, 690311.9788169997 9313165.869657738, 690311.0177827369 9313128.967829527, 690305.8102355578 9313086.31789332, 690297.3718415969 9313043.943879742, 690295.5155564304 9313034.671142193, 690286.1024385304 9312995.463263, 690290.2797283824 9312983.317616165, 690298.6394026139 9312957.190456314, 690293.507102413 9312937.698494421, 690271.424932915 9312896.109797036, 690264.5736962431 9312865.331857827, 690261.0701845451 9312829.378338935, 690268.6616992855 9312825.715152647, 690282.1355228232 9312816.912382547, 690285.4949168306 9312808.518499674, 690281.2527740705 9312804.108559377, 690271.1310198979 9312805.66764154, 690258.4550196 9312804.547608063, 690237.3180286017 9312794.96150982, 690222.0850945157 9312783.52037608, 690212.7367021075 9312767.625334956, 690211.0008397973 9312751.13047526, 690207.5755770493 9312735.846570363, 690200.7444938906 9312714.668057173, 690191.2634112234 9312654.525126934, 690188.9248445168 9312650.097940117, 690184.4704975553 9312641.685215196, 690183.9930896247 9312641.222275175, 690180.2295587845 9312637.640226297, 690149.757899745 9312612.944245972, 690146.3403766507 9312600.03807069, 690144.5327718755 9312564.864267392, 690141.0737854979 9312539.195779823, 690129.1107751551 9312495.20752209, 690111.905828092 9312452.463880742, 690099.3089431495 9312421.162716601, 690097.1251522197 9312416.679730881, 690106.1075411976 9312411.917162402, 690137.5302282093 9312398.942020338, 690122.4472473038 9312314.40940559, 690088.7880052184 9312207.873837315, 690077.5330193728 9312163.783758868, 690077.5270175429 9312161.936873354, 690081.1688332506 9312141.697557254, 690077.3358131174 9312103.101956997, 690073.5078556507 9312062.65943586, 690078.933051973 9312025.869590607, 690086.181660346 9311978.036621142, 690108.3518427303 9311965.091506295, 690111.9338553613 9311926.47179472, 690106.1622516983 9311856.706288556, 690107.9991290141 9311856.611841127, 690107.8855253537 9311821.675836444, 690108.6298136611 9311764.673708752, 690104.7967294946 9311726.078107143, 690105.6755186325 9311710.437378068, 690104.4759664836 9311705.718952028, 690106.6894845007 9311705.7338715, 690128.2269995379 9311705.87394639, 690147.6504955498 9311705.965593897, 690152.7189643611 9311705.849571701, 690235.4516024295 9311703.733463513, 690262.4757444614 9311703.015123364, 690319.0454593601 9311700.984051, 690370.5470726037 9311699.179556748, 690373.2474799021 9311699.170761673, 690374.4206076806 9311699.166940821, 690379.8324896548 9311699.149314139, 690438.0916561184 9311699.324488297, 690492.9674347775 9311697.088636762, 690562.2104273282 9311695.392039068, 690574.0293876784 9311695.08808136, 690600.2015308547 9311694.416598257, 690695.6101122606 9311693.419725884, 690721.782665434 9311692.869839309, 690732.7592946442 9311692.192579834, 690878.8066302391 9311686.075551923, 690937.9132989075 9311684.776563032, 691070.4580416214 9311681.89931015, 691080.5065140883 9311681.678451894, 691080.6061195825 9311681.67812627, 691080.616604303 9311684.885308234, 691140.5752872833 9311686.90113861, 691225.0177929671 9311689.743681733, 691288.3634513994 9311695.23198655, 691291.7398435822 9311695.486361824, 691350.8668316682 9311700.358023938, 691369.4398164233 9311700.927603781, 691425.1809535942 9311702.647295296, 691448.8154890097 9311700.977337359, 691471.6220976138 9311703.33569844, 691495.2659850118 9311704.519012982, 691516.3894864721 9311709.990559962, 691551.0237480999 9311714.67684764, 691574.6875256945 9311718.547499003, 691641.4256718513 9311729.144821355, 691648.1793086036 9311729.907896254, 691685.3113647923 9311723.404869834, 691700.5164797856 9311722.93474879, 691720.7786707444 9311722.237908665, 691744.415887604 9311721.375158755, 691757.0772275432 9311721.433158942, 691790.8555610258 9311721.587764332, 691806.9036859587 9311721.68993832, 691825.475706309 9311721.94971643, 691832.236461865 9311721.507271918, 691842.0400783194 9311720.85577076, 691842.5159006639 9311720.832090309, 691850.8036206036 9311720.285097415, 691936.9397613727 9311723.11001864, 691966.4905865554 9311723.333701406, 691996.8949448373 9311723.963764139, 692019.692634499 9311723.579214538, 692048.4111839414 9311726.493028583, 692070.3651619785 9311728.688075975, 692119.3466057064 9311731.103955278, 692166.6753505298 9311742.505480032, 692175.1533662546 9311752.707575945, 692178.5297799204 9311752.961902011, 692216.8780829556 9311759.54888829, 692216.9761617727 9311759.084069878, 692221.3042221122 9311739.096513715, 692249.1142308958 9311610.461321242, 692252.1381881733 9311597.77726852, 692255.2875438071 9311592.933937889, 692256.527644095 9311586.371616898, 692267.5356881748 9311571.68165816, 692399.6940742609 9311579.032555066, 692472.163409444 9311575.575629732, 692471.5740818293 9311557.937762786, 692470.3758070263 9311506.62590429, 692475.0903679873 9311503.21512709, 692480.1472138051 9311499.559914166, 692476.7975049568 9311487.250730315, 692546.6115023415 9311484.078912022, 692547.9163549241 9311473.667674476, 692546.2119520602 9311473.662231416, 692547.646197533 9311465.573050886, 692547.6407208793 9311450.4769263, 692543.4240667832 9311396.752977913, 692539.1976848728 9311333.363107353, 692539.9833529338 9311333.327339634, 692547.7407196648 9311333.058464753, 692546.5402806315 9311314.703741549, 692671.3664387332 9311303.686168738, 692810.8658348423 9311362.427197231, 692819.109198053 9311358.507061383, 692818.0993432335 9311354.329918453, 692820.6314932771 9311353.635874676, 692828.223234379 9311350.127087705, 692867.9521505273 9311332.41139809, 692873.0356376434 9311320.074373452, 692868.2099520138 9311266.352375152, 692859.4542048376 9311215.640468849, 692864.5887742336 9311205.37139299, 692866.095058816 9311202.358245319, 692867.8324026461 9311202.286151819, 692884.2908433775 9311182.545957174, 692972.4005315978 9311189.885951042, 692992.0420836963 9311172.203318946, 692992.256626819 9311166.794529185, 692991.8255510649 9311166.961845646, 692988.0505111757 9311143.196459232, 692958.7715224402 9311097.916201308, 692960.0870287842 9311097.45841654, 692973.3195257873 9311092.869251583, 692943.0277839241 9310998.985980252, 693107.6748442791 9310971.5450586, 693106.3718835639 9310959.063218322, 693100.9330403017 9310910.773411307, 693097.034863865 9310889.950249985, 693093.6889317664 9310872.133440126, 693086.4499606446 9310868.507755281, 693061.0990175619 9310856.43723191, 693036.9495007935 9310839.529737769, 693015.2123359571 9310835.90774747, 693007.2589315765 9310830.426426237, 692997.7081569894 9310823.833378728, 693001.0220231632 9310798.48517259, 693002.0759556583 9310795.904831031, 693001.7688406586 9310793.395346291, 693004.8975211263 9310789.027569838, 693006.4564127311 9310785.19583814, 693017.3272302032 9310759.236489182, 693025.7726510345 9310719.394457236, 693025.7807557445 9310718.498613073, 693026.3820079936 9310656.010597927, 693020.0452924215 9310624.01437937, 693016.6426625501 9310615.819503857, 693006.7583219702 9310592.019030094, 692985.6349594723 9310549.753229585, 692964.53038364 9310456.270955851, 692943.1450234437 9310361.539898917, 692955.812857548 9310360.281458458, 692955.7455768865 9310360.016253682, 692958.8657379202 9310359.773684464, 692954.5817291777 9310336.054228969, 693064.1744480586 9310330.836516608, 693185.3231047674 9310352.864070682, 693264.0107878167 9310346.023043113, 693269.7640877471 9310345.517364986, 693271.3130108408 9310345.368459972, 693283.914488183 9310344.12122471, 693285.8945549723 9310337.14718605, 693328.3803335608 9310163.084834067, 693342.5371490207 9310103.548891291, 693378.5863199756 9310024.431387074, 693405.4341948319 9309974.032690031, 693418.0284494052 9309953.951101769, 693444.0516467984 9309905.191908838, 693445.7168497392 9309900.065835213, 693452.4180679683 9309885.069036108, 693458.2848850032 9309868.758923704, 693460.7085996823 9309838.746456005, 693436.7724783336 9309802.716624875, 693429.6030968771 9309790.021992588, 693419.1097115808 9309782.834961258, 693392.0527465199 9309766.83317086, 693365.0088200397 9309744.748606192, 693352.8592247942 9309732.04837403, 693342.3733570478 9309720.448571134, 693332.8666614632 9309697.089277191, 693329.1175466581 9309687.878095971, 693312.0064024816 9309667.452674229, 693299.3001979191 9309637.081215715, 693294.3319397346 9309600.645608403, 693286.4479990574 9309572.702304114, 693281.6334071672 9309559.236753693, 693280.5328128731 9309534.38972616, 693281.0867971866 9309507.889345651, 693275.5690770557 9309462.619030146, 693271.9206751271 9309433.721621724, 693264.2519475895 9309410.599546488, 693260.8812386747 9309388.679757172, 693260.7907584655 9309388.093904296, 693260.1740560787 9309362.3273351, 693259.816005705 9309347.807410602, 693259.8044617613 9309347.66367551, 693258.9225948367 9309332.03953973, 693252.7663407287 9309257.762301257, 693244.089165772 9309207.547823252, 693244.5780633905 9309148.101434667, 693255.781028514 9309139.039711958, 693278.6860928183 9309094.581946285, 693286.7667044968 9309078.419322314, 693289.4937231642 9309063.114989446, 693298.7494914695 9309027.572225392, 693298.2040668455 9308999.958477298, 693299.4273652767 9308995.077178547, 693305.630591418 9308986.795139851, 693306.9715991771 9308977.367997175, 693306.9270011662 9308977.26860979, 693314.2130753389 9308971.803145321, 693336.2975373064 9308960.21687403, 693367.7686619026 9308945.856659153, 693367.9893382536 9308945.656855194, 693386.5386094484 9308929.29353771, 693404.7498970819 9308901.141906036, 693406.820215028 9308881.39381795, 693259.7027197389 9308900.174829945, 693259.7251839067 9308900.274290811, 693257.9374187189 9308901.806435995, 693258.4842632803 9308899.847090254, 693247.3698857235 9308902.239659207, 693156.6078244351 9308921.729097834, 693150.4357811423 9308922.7338707, 693147.7373381625 9308923.306857606, 693144.8057205076 9308923.64836877, 693096.3363784212 9308931.53973905, 693095.0314059008 9308931.820554625, 693089.7108135978 9308932.612366088, 693031.3418371035 9308942.106958231, 692954.4056423 9308955.898807937, 692947.1549468553 9308958.687707994, 692940.0293216747 9308962.48260477, 692939.7936923106 9308961.51015178, 692939.6610732643 9308961.56588867, 692923.6243222994 9308894.56543512, 692921.6490320079 9308886.26631551, 692919.2813811684 9308876.453348199, 692919.123916385 9308875.690766275, 692916.4304161803 9308864.39690931, 692908.6604080207 9308824.022398407, 692907.208962465 9308816.838550169, 692827.9688988964 9308826.645438412, 692781.931140772 9308840.23518838, 692737.4098576782 9308837.208557291, 692687.5241875063 9308821.735637, 692671.7597415792 9308816.844242278, 692636.2898546199 9308810.049480407, 692589.8761195982 9308810.346845856, 692588.481701404 9308810.351459697, 692582.6495652564 9308810.392875575, 692519.3259421232 9308810.801428879, 692458.1972214936 9308812.308600744, 692421.1294284076 9308804.202924855, 692370.1955506856 9308786.278032668, 692347.5577646291 9308777.78177956, 692278.6997860254 9308771.18562531, 692252.6624501185 9308772.123214608, 692250.161098741 9308768.703050626, 692246.6257146659 9308763.826456122, 692232.2855006424 9308764.581626108, 692202.0974720515 9308765.333832651, 692186.2538527355 9308776.6557177, 692157.5761936491 9308785.708547626, 692142.8482036324 9308786.332260793, 692122.1117547547 9308787.219111225, 691982.2276162254 9308784.307559535, 691977.2250331149 9308784.20240664, 691948.5468451247 9308779.674152832, 691878.6679435745 9308778.898160044, 691812.3306140552 9308778.165709563, 691692.6890271571 9308778.913779458, 691691.5934181332 9308778.917387892, 691631.2283718359 9308773.641764268, 691627.4599978639 9308775.2909638, 691599.6999211039 9308773.966751888, 691499.3342697492 9308767.174813114, 691476.3603258189 9308767.438409213, 691434.429599581 9308767.93024229, 691428.3904948164 9308758.870341241, 691292.3505669676 9308750.271051882, 691273.3226766479 9308749.061760254, 691229.5508197419 9308748.309789397, 691221.2541835615 9308695.484246153, 691220.8669211343 9308695.507637417, 691193.0057612131 9308697.07007636, 691154.0908808294 9308699.254957864, 691135.9782775812 9308703.78243916, 691113.3380328156 9308704.542474799, 691110.3154661581 9308700.770092845, 691108.1679065505 9308700.589135777, 691083.1500208197 9308698.503648197, 691053.7233124765 9308698.500728028, 691023.540291562 9308693.976991137, 691009.1951903848 9308693.216742352, 690997.1234681469 9308680.394311499, 690969.2092922932 9308682.653558275, 690946.5666041633 9308682.661501601, 690930.7177472047 9308685.677413922, 690912.3106295462 9308694.88390153, 690909.5926472656 9308696.242060982, 690880.1585282711 9308693.971907465, 690805.447494631 9308684.163950456, 690803.1819373665 9308718.875661174, 690788.9344819109 9308720.890937155, 690739.0462179063 9308727.933386805, 690689.2367036438 9308715.101867212, 690689.3530885424 9308710.091596961, 690691.4987594025 9308618.513084533, 690694.1969394506 9308573.96820707, 690690.8666702108 9308574.222427428, 690690.0757539101 9308572.643531317, 690670.7482419651 9308533.999120876, 690650.3743085245 9308533.99953005, 690619.4080555487 9308543.70051232, 690599.8178662132 9308549.847335583, 690573.4016831776 9308563.426275086, 690564.5158375907 9308583.937297452, 690564.2281768237 9308583.960358273, 690561.3270947386 9308593.61361373, 690545.4899314421 9308623.846445141, 690544.7311116187 9308625.308764178, 690511.9043771484 9308695.48827882, 690460.5917390836 9308727.175371153, 690418.3265401912 9308736.990599733, 690378.3373423612 9308742.275078202, 690365.82073908 9308735.492407698, 690360.222081786 9308732.458342662, 690360.1336206975 9308732.480750687, 690348.8995686993 9308735.481397893, 690339.0967673572 9308729.441881899, 690322.5384146993 9308735.468076851, 690313.5029791266 9308730.576218922, 690319.3173225869 9308708.195224028, 690338.8103583283 9308601.276137933, 690189.0478807759 9308605.913089855, 689921.4</t>
  </si>
  <si>
    <t>South Tangerang City</t>
  </si>
  <si>
    <t>POLYGON ((682081.165871783 9311197.460517714, 682092.704877594 9311182.074785573, 682099.3148778155 9311168.871963145, 682107.8010463582 9311157.554361733, 682110.112645747 9311157.11585658, 682137.5089072436 9311151.899092028, 682139.0026384213 9311151.805962343, 682340.7477967616 9311140.150697792, 682350.202061848 9311148.260542069, 682611.582590312 9311135.323261363, 682614.7468812821 9311138.597869396, 682617.7110364083 9311145.113369798, 682622.3148325454 9311155.726606466, 682612.9163972649 9311161.94899479, 682612.9403633918 9311162.535043154, 682614.750330285 9311160.936897887, 682622.6938336719 9311156.599076878, 682642.801070825 9311145.587857187, 682684.0430381099 9311123.020288976, 682686.2325923338 9311122.482610894, 682935.9622432515 9311113.815851633, 682941.2184308078 9311113.633502284, 683087.588403906 9311064.095164197, 683228.61859819 9311016.36470039, 683358.7166655903 9310965.770716108, 683440.8651835467 9310933.828721784, 683623.6363002219 9310976.68280147, 683624.400463156 9310976.857341982, 683689.6548473297 9310950.022050153, 683710.8806214745 9310925.24949072, 683743.9017617523 9310906.909304608, 683807.3878396067 9310908.987615172, 683991.4578476129 9310910.829731641, 684064.2938422873 9310908.863881238, 684109.278487211 9310908.158029817, 684149.4935792817 9310904.027835941, 684149.4910677641 9310903.231595194, 684316.4368158169 9310882.754304573, 684411.8140415759 9310873.119289031, 684411.8472768529 9310873.130243065, 684441.8114126003 9310875.048325554, 684442.82990597 9310875.155698013, 684467.0618731702 9310877.22458614, 684467.0602308152 9310876.704817126, 684523.7715636274 9310874.645559417, 684529.801424271 9310874.139902893, 684546.0678533007 9310873.53553315, 684615.4145531933 9310867.01262793, 684628.9347429924 9310865.886085277, 684629.1002202183 9310865.719676431, 684645.6735153382 9310864.163230576, 684667.2597524483 9310862.491391368, 684717.6131084599 9310858.66048748, 684811.7146104688 9310844.549915036, 684819.7575098759 9310843.683964713, 684874.6173394059 9310865.020099761, 684885.6762630288 9310869.48610933, 684905.7761400585 9310877.21907882, 684939.2833283378 9310890.107325686, 684939.8018569234 9310889.596966801, 684949.6954144847 9310893.004989633, 684953.9278414277 9310894.539848346, 684994.4852749137 9310921.583438823, 685053.2214825394 9310961.254132995, 685074.3577260432 9310960.744777229, 685143.9577012176 9310960.734240782, 685144.4684237756 9310961.252397109, 685176.9499355643 9310961.259980313, 685190.2657070068 9310965.453368124, 685218.5052122384 9310974.86352836, 685294.0925188111 9310974.867001703, 685302.4701904258 9310974.862532841, 685310.9816823708 9310975.17835105, 685355.2485066503 9310974.860896403, 685379.1420776389 9310974.862454168, 685383.5128860383 9310974.660572734, 685384.1879638276 9310974.658429349, 685478.531783502 9310970.532368405, 685499.1606092916 9310970.533188462, 685533.6440155935 9310970.136087976, 685629.5393259284 9310970.14094616, 685633.523430949 9310970.139338652, 685682.6841906691 9310970.535974799, 685682.6829245758 9310970.13785168, 685747.657157178 9310970.141310036, 685780.7261167045 9310984.313387886, 685780.9914049283 9310984.213011969, 685782.698131002 9310984.97065892, 685859.5875974417 9310955.917014765, 685893.2369480948 9310943.81076896, 685899.6827003609 9310941.832785599, 686007.659235493 9310947.516100047, 686060.6904048203 9310950.410500623, 686064.1740736659 9310956.592499092, 686064.4525430268 9310957.155626148, 686065.6432895599 9310959.219884584, 686067.0011319008 9310961.62644284, 686067.9146384142 9310980.877437577, 686072.067770206 9311030.44218119, 686118.2171837052 9311030.438874412, 686146.9353189222 9311023.258442897, 686229.4967453727 9311037.615341252, 686286.2594953899 9311002.929836396, 686294.1017522481 9310998.127277087, 686337.1730475645 9310983.778871927, 686354.3055702597 9310963.220582101, 686355.1213791474 9310962.233716415, 686405.380622849 9310998.137087865, 686444.8562570435 9310994.538486881, 686513.0544565156 9311023.262427785, 686580.4351987198 9311017.79407816, 686645.8686662723 9311012.486699747, 686749.9627425644 9310990.953499887, 686761.2609518251 9311000.94800616, 686843.2896184394 9311073.510065738, 686882.7768962794 9311073.5164211, 686911.4937865355 9311055.56398571, 686945.4122333125 9311089.484421559, 686954.5607858032 9311098.63423109, 686983.2789663095 9311091.45336999, 687137.633136103 9311105.811401714, 687168.5087792544 9311112.248420611, 687309.9188605867 9311141.710098349, 687358.0653312148 9311139.697721785, 687357.9085486268 9311139.12314773, 687358.1630537114 9311139.111272091, 687357.5386906562 9311137.675582537, 687352.3733435096 9311117.907292191, 687337.8175276588 9311092.94919709, 687337.0260610091 9311091.17120927, 687336.2808134813 9311090.00132767, 687336.4203204968 9311088.640601927, 687333.7113236221 9311085.95085403, 687333.422127894 9311085.498355666, 687330.5802552649 9311079.336453876, 687328.9528419159 9311075.71426589, 687330.6733610666 9311066.960941475, 687333.9420146625 9311061.266041206, 687337.3348166414 9311056.322766025, 687340.0456882585 9311052.697719777, 687347.8512979399 9311046.833434327, 687356.1063227436 9311039.618486268, 687372.5969035956 9311032.91901043, 687391.3432074661 9311035.955423657, 687395.0007353347 9311037.635740077, 687416.9369706413 9311048.381214239, 687432.9221597869 9311056.624291211, 687433.9400369774 9311056.53255069, 687434.0287147183 9311056.576502774, 687434.5264088616 9311056.475372706, 687443.7424610478 9311055.594234157, 687443.4738364078 9311054.655066269, 687443.5402027281 9311054.643794063, 687443.2051407811 9311053.693780258, 687441.6829582874 9311048.379201632, 687437.045439169 9311034.459523287, 687419.5472395199 9311027.205571843, 687414.3717625289 9311024.977170035, 687411.1800406902 9311023.605016835, 687379.8156482226 9311009.715815792, 687372.6774662923 9310968.355290035, 687368.5912670031 9310940.00161986, 687361.780950082 9310942.18001383, 687356.1758598669 9310940.572301866, 687355.8895335811 9310937.565125326, 687350.1567863909 9310937.561402787, 687332.9475142898 9310937.56132638, 687302.7679397136 9310951.448938059, 687282.842232651 9310967.13946332, 687267.1439140879 9310968.95928161, 687251.4497212761 9310937.557339733, 687248.4267832956 9310926.69587205, 687245.4074312889 9310903.149526753, 687241.472855075 9310897.897981564, 687234.5484721514 9310888.6636653, 687212.817210586 9310893.488797355, 687185.6412509445 9310912.210630042, 687179.0040268095 9310920.050739272, 687157.2664143427 9310919.445817092, 687140.9705002017 9310921.267519642, 687129.4994596394 9310933.336655846, 687116.2253374001 9310938.76501087, 687102.939624563 9310940.577053713, 687105.9529598415 9310924.277252728, 687108.9765872227 9310890.470765522, 687119.9557253779 9310887.217360817, 687121.3591559195 9310876.20899628, 687124.6579631318 9310869.56292537, 687139.0165963607 9310860.669569245, 687151.1689333331 9310853.995114211, 687149.917820761 9310843.470801178, 687146.5326268483 9310840.429324402, 687143.9810380685 9310835.051691664, 687146.2665053266 9310829.912912946, 687133.7309685466 9310824.069624135, 687095.0879294373 9310831.912782872, 687087.8492671414 9310838.56041938, 687075.1664467477 9310838.556827586, 687071.5450610236 9310834.332774416, 687074.5627761766 9310822.85475504, 687078.7859843302 9310818.03048622, 687076.3708917699 9310813.80256767, 687062.4887449067 9310798.707065566, 687060.6837609913 9310791.469100386, 687060.8032287478 9310790.760931341, 687063.7023428106 9310773.355582852, 687060.6744636095 9310754.033875547, 687059.4770781482 9310739.55021397, 687052.8308498985 9310723.856448257, 687050.4118984027 9310718.423094103, 687042.2106468166 9310711.327278264, 687037.2300233764 9310721.53978323, 687032.2020472214 9310730.79029223, 687025.9112717044 9310729.317463612, 687020.8379639153 9310748.59877202, 687018.4181773847 9310749.811973354, 687005.1419506618 9310740.75282364, 687000.1549653586 9310742.073781528, 686993.6640878599 9310743.775568198, 686986.426272808 9310743.776636915, 686982.7985354569 9310734.111497298, 686983.404747504 9310729.884957854, 686977.3649839408 9310723.854948264, 686973.1421032046 9310718.416312529, 686956.8078845929 9310701.34906483, 686954.8415373568 9310699.010822754, 686944.7653757706 9310687.021797758, 686938.7340806095 9310700.90929458, 686941.1498962454 9310722.643852592, 686942.9598273092 9310738.342053574, 686945.9807914405 9310748.606331594, 686948.3858712241 9310760.078030033, 686951.1526325934 9310766.992198836, 686950.1452977076 9310766.918011066, 686961.6694817329 9310781.81095852, 686960.466170049 9310789.655752938, 686953.8265133646 9310793.282302683, 686936.3121517967 9310787.841995057, 686924.2461225358 9310779.995459288, 686916.9986375916 9310776.97740066, 686903.1128972102 9310774.566732185, 686895.2663671547 9310774.558678502, 686891.0440404394 9310772.747437656, 686877.4594007274 9310760.681161681, 686863.5692635328 9310753.437651152, 686849.0800812924 9310749.204144299, 686841.8266671646 9310737.41619287, 686839.4236896484 9310733.50894653, 686830.3619488333 9310709.970909297, 686829.7690545568 9310704.531706482, 686827.3510201785 9310692.462857429, 686821.9141166939 9310684.606148025, 686818.2985655421 9310682.195768027, 686754.9002565553 9310648.988993838, 686746.1563236904 9310641.751116501, 686751.5886336055 9310630.884713199, 686760.8097895824 9310628.167832298, 686757.4436154033 9310624.142016996, 686756.577230161 9310616.23750141, 686771.7367290815 9310605.163018446, 686775.2148936198 9310602.685697054, 686767.5072236577 9310587.271799188, 686765.4688949386 9310583.18643925, 686769.0900891058 9310573.531274984, 686779.209869337 9310578.42020446, 686783.5659358817 9310580.529617582, 686783.8801615168 9310581.888886744, 686807.1238740304 9310575.942076039, 686810.7499759574 9310574.736079965, 686819.1944301471 9310564.47933435, 686821.3085763615 9310554.220735785, 686827.2847106153 9310547.300693847, 686833.9793950252 9310529.761567514, 686835.0678945447 9310527.535193326, 686812.0000576566 9310522.731966836, 686809.5415559737 9310522.220057951, 686807.7285068013 9310522.82305643, 686811.9578174329 9310509.53853904, 686820.0810048849 9310492.271319155, 686820.3324095514 9310487.835795809, 686831.2559930878 9310470.71443397, 686832.7888992886 9310469.028534727, 686831.2693981407 9310457.62035891, 686818.5933701231 9310452.794923723, 686801.6941547672 9310452.793737177, 686792.0277960154 9310444.342319874, 686782.3695027377 9310428.03888197, 686763.6609474351 9310415.966892177, 686759.4361934433 9310409.931064075, 686759.241118795 9310407.764096081, 686759.229485549 9310407.587186996, 686757.6218948014 9310389.400039352, 686745.6718900753 9310369.365945786, 686740.6537507296 9310360.943882216, 686739.1294566621 9310358.405158423, 686737.093293218 9310354.994400766, 686676.7271529605 9310318.161601523, 686648.9501296799 9310311.526530424, 686639.8986568598 9310294.623949831, 686633.8580328651 9310295.218352934, 686625.7156238173 9310289.183996694, 686612.4299437366 9310277.116746187, 686614.8409568467 9310266.248958725, 686625.7148051541 9310257.79816317, 686628.4256345824 9310257.623602375, 686629.6259419441 9310259.212277805, 686632.5440060683 9310261.547478363, 686640.8061728269 9310256.588664776, 686646.2331810903 9310247.535981277, 686646.2335399971 9310237.273098154, 686646.0457131264 9310233.911720626, 686645.9462537343 9310233.956275463, 686632.9564432049 9310220.970176276, 686628.7339852194 9310205.268650757, 686628.580314747 9310202.205760907, 686628.5210174377 9310200.967327049, 686628.1309361467 9310193.194000352, 686627.5193070872 9310185.355027778, 686626.6762513603 9310184.738413747, 686614.241323182 9310175.687592046, 686596.7353034647 9310162.40628527, 686588.8820572112 9310153.35185998, 686584.0586893772 9310140.074209122, 686586.4740907421 9310134.039251205, 686601.8477804979 9310131.147862006, 686602.181269275 9310131.611278713, 686620.2784308083 9310125.581433179, 686628.899433635 9310104.806897994, 686629.9715631859 9310104.38321943, 686638.4564540192 9310089.492579129, 686642.0111551143 9310083.277023925, 686643.4087734262 9310080.817421317, 686665.2711655872 9310051.374360494, 686666.9093825086 9310048.018196095, 686667.5296155203 9310048.171038521, 686663.9129372154 9310045.395712852, 686655.8515589703 9310040.467023665, 686645.0955982886 9310037.32748082, 686635.6834349186 9310039.116011621, 686626.7254445109 9310044.497307552, 686617.3104132506 9310045.390053812, 686611.0418870404 9310040.466680605, 686603.8726033532 9310034.185915634, 686597.6008128399 9310024.783600993, 686594.9160952339 9310015.823231509, 686593.5661342832 9310005.509375686, 686588.644487954 9309996.102740398, 686585.9487052147 9309987.142406555, 686585.5009183981 9309978.628303347, 686590.8771635768 9309971.013469812, 686602.5272579213 9309966.53041018, 686613.2784816409 9309964.73759573, 686626.2734174283 9309962.052865794, 686633.003066887 9309958.912646037, 686637.9309005006 9309949.507660573, 686640.2315565641 9309928.377336267, 686640.1942044366 9309916.710062074, 686636.8529479619 9309910.085274383, 686635.6244014434 9309910.044970933, 686651.8148423459 9309906.487388307, 686659.4345821342 9309908.287749993, 686670.1826950619 9309915.895202804, 686678.7035682506 9309922.625054821, 686679.5572634805 9309923.108923491, 686679.2696705242 9309923.154080966, 686684.5265551179 9309926.654055169, 686689.4506775627 9309933.373305423, 686697.397538325 9309940.558418978, 686698.8626305535 9309941.891883662, 686722.1626112007 9309943.232834678, 686767.4140767198 9309936.065329194, 686818.0540679895 9309932.032376306, 686854.3446679609 9309929.339291215, 686881.6553633143 9309928.632439166, 686885.9157341524 9309928.51924977, 686892.4239843155 9309915.006218417, 686900.3552642873 9309900.061992291, 686906.2309265512 9309889.448484184, 686921.3217055025 9309857.018890735, 686931.3711477452 9309833.09888783, 686943.1076148164 9309803.798719821, 686943.9366605969 9309800.047006613, 686949.781193176 9309779.734707473, 686961.4458810755 9309759.11619926, 686962.4142520211 9309757.39892345, 686969.0939560448 9309745.599492284, 686995.1494614561 9309708.976437557, 687006.9070840438 9309689.740008418, 687019.1020771682 9309668.854356004, 687019.3441601258 9309668.422271822, 687022.0187068684 9309663.846254965, 687028.7398475541 9309651.173003556, 687041.9488774105 9309560.058401512, 687044.4232183256 9309541.382590925, 687047.7462196647 9309525.07071625, 687047.8424823233 9309524.030845832, 687074.267805489 9309540.601109164, 687102.6361561015 9309555.694256205, 687144.8927560572 9309567.159618916, 687193.7924575667 9309562.33557398, 687229.4135629438 9309544.216792272, 687280.4453201435 9309517.543944381, 687280.6000046781 9309517.466032939, 687282.5445036304 9309516.453397654, 687319.3613599556 9309501.958112184, 687389.0919950395 9309494.71130198, 687396.9389404014 9309494.896187847, 687430.2634641273 9309495.651608828, 687430.7283355431 9309495.672231706, 687494.743318872 9309497.125138337, 687650.7969432108 9309490.484881125, 687713.8071898915 9309489.2091614, 687714.4379553685 9309489.196069948, 687739.5468779217 9309488.683857365, 687742.7003492906 9309488.507807754, 687740.3818254403 9309466.175695255, 687761.0184104226 9309465.246573543, 687757.5745516232 9309447.430240665, 687749.8560333357 9309408.117539456, 687737.7380378168 9309315.447318371, 687731.2871070742 9309264.252954498, 687729.9357065697 9309253.563063845, 687724.7283410886 9309210.504264468, 687714.3417857499 9309129.694993751, 687689.3646797967 9308978.795321705, 687688.7661712313 9308975.081360312, 687684.2042123816 9308946.850873223, 687669.6895161534 9308900.28314479, 687664.1584545842 9308880.39441939, 687657.731694869 9308857.290355379, 687646.6505015865 9308821.892410243, 687633.8560478261 9308783.702012664, 687626.0839938906 9308727.767532472, 687621.6921737007 9308676.787735311, 687620.8377110695 9308672.632232212, 687639.4083411366 9308672.88201266, 687722.1430764073 9308669.607077034, 687755.916774944 9308669.077867448, 687835.2716803879 9308667.82644866, 687851.312375098 9308665.9830779, 687873.4154972977 9308663.489755204, 687874.9421438853 9308663.318938239, 687879.1682044074 9308662.885044098, 687886.7465662619 9308658.746549644, 687890.9421317375 9308648.86818688, 687907.7980718594 9308594.479850482, 687910.996174996 9308584.151277363, 687914.3539281181 9308578.710360007, 687983.2805987403 9308483.931414166, 688016.9426060179 9308448.864445524, 688035.4743446185 9308437.092835031, 688042.4367323118 9308434.128577236, 688058.2401658427 9308427.375602951, 688108.8187196879 9308401.267133096, 688129.8814389578 9308388.491968073, 688152.6436202782 9308377.657719387, 688210.0023322196 9308360.695305651, 688245.4390694154 9308350.881686322, 688290.0517961981 9308334.778812595, 688312.0596981449 9308326.833389372, 688329.7742240601 9308322.451872634, 688347.4848093049 9308316.853846563, 688388.82042335 9308303.747488804, 688406.5132324733 9308292.664116561, 688451.1244851621 9308248.802402863, 688474.686128158 9308225.158802357, 688479.719425506 9308217.710678186, 688483.0740212393 9308211.318622239, 688484.7584829415 9308208.625766477, 688512.5086633766 9308172.991403233, 688515.6020425346 9308171.366725193, 688517.9994166642 9308170.109258441, 688520.4741126384 9308168.807303902, 688527.6772648862 9308165.023807475, 688521.0279267477 9308196.265615338, 688518.5328518599 9308208.350399911, 688515.2314244148 9308231.143147241, 688512.729677163 9308241.170932742, 688501.1280601927 9308308.28285424, 688535.485027747 9308487.7404638, 688609.937264791 9308537.641772691, 688741.1094701235 9308571.433733609, 688896.4053395761 9308611.439852696, 688900.3236988749 9308611.67043609, 688906.4153806226 9308613.21001601, 688958.8997585983 9308615.085566679, 689149.2610273894 9308626.178853383, 689186.9432299006 9308629.595320605, 689208.0696196854 9308629.604044959, 689235.8855255481 9308631.2167216, 689318.7204421769 9308627.972330375, 689320.2805300062 9308624.472520329, 689339.5378264642 9308624.84117484, 689401.0725909036 9308626.001208575, 689615.042273122 9308620.891698511, 689631.8402846282 9308620.494119303, 689687.7130971667 9308619.526797066, 689921.4296137346 9308615.49088197, 690189.0478807759 9308605.913089855, 690338.8103583283 9308601.276137933, 690319.3173225869 9308708.195224028, 690313.5029791266 9308730.576218922, 690322.5384146993 9308735.468076851, 690339.0967673572 9308729.441881899, 690348.8995686993 9308735.481397893, 690360.1336206975 9308732.480750687, 690360.222081786 9308732.458342662, 690365.82073908 9308735.492407698, 690378.3373423612 9308742.275078202, 690418.3265401912 9308736.990599733, 690460.5917390836 9308727.175371153, 690511.9043771484 9308695.48827882, 690544.7311116187 9308625.308764178, 690545.4899314421 9308623.846445141, 690561.3270947386 9308593.61361373, 690564.2281768237 9308583.960358273, 690564.5158375907 9308583.937297452, 690573.4016831776 9308563.426275086, 690599.8178662132 9308549.847335583, 690619.4080555487 9308543.70051232, 690650.3743085245 9308533.99953005, 690670.7482419651 9308533.999120876, 690690.0757539101 9308572.643531317, 690690.8666702108 9308574.222427428, 690694.1969394506 9308573.96820707, 690691.4987594025 9308618.513084533, 690689.3530885424 9308710.091596961, 690689.2367036438 9308715.101867212, 690739.0462179063 9308727.933386805, 690788.9344819109 9308720.890937155, 690803.1819373665 9308718.875661174, 690805.447494631 9308684.163950456, 690880.1585282711 9308693.971907465, 690909.5926472656 9308696.242060982, 690912.3106295462 9308694.88390153, 690930.7177472047 9308685.677413922, 690946.5666041633 9308682.661501601, 690969.2092922932 9308682.653558275, 690997.1234681469 9308680.394311499, 691009.1951903848 9308693.216742352, 691023.540291562 9308693.976991137, 691053.7233124765 9308698.500728028, 691083.1500208197 9308698.503648197, 691108.1679065505 9308700.589135777, 691110.3154661581 9308700.770092845, 691113.3380328156 9308704.542474799, 691135.9782775812 9308703.78243916, 691154.0908808294 9308699.254957864, 691193.0057612131 9308697.07007636, 691220.8669211343 9308695.507637417, 691221.2541835615 9308695.484246153, 691229.5508197419 9308748.309789397, 691273.3226766479 9308749.061760254, 691292.3505669676 9308750.271051882, 691428.3904948164 9308758.870341241, 691434.429599581 9308767.93024229, 691476.3603258189 9308767.438409213, 691499.3342697492 9308767.174813114, 691599.6999211039 9308773.966751888, 691627.4599978639 9308775.2909638, 691631.2283718359 9308773.641764268, 691691.5934181332 9308778.917387892, 691692.6890271571 9308778.913779458, 691812.3306140552 9308778.165709563, 691878.6679435745 9308778.898160044, 691948.5468451247 9308779.674152832, 691977.2250331149 9308784.20240664, 691982.2276162254 9308784.307559535, 692122.1117547547 9308787.219111225, 692142.8482036324 9308786.332260793, 692157.5761936491 9308785.708547626, 692186.2538527355 9308776.6557177, 692202.0974720515 9308765.333832651, 692232.2855006424 9308764.581626108, 692246.6257146659 9308763.826456122, 692250.161098741 9308768.703050626, 692252.6624501185 9308772.123214608, 692278.6997860254 9308771.18562531, 692347.5577646291 9308777.78177956, 692370.1955506856 9308786.278032668, 692421.1294284076 9308804.202924855, 692458.1972214936 9308812.308600744, 692519.3259421232 9308810.801428879, 692582.6495652564 9308810.392875575, 692588.481701404 9308810.351459697, 692589.8761195982 9308810.346845856, 692636.2898546199 9308810.049480407, 692671.7597415792 9308816.844242278, 692687.5241875063 9308821.735637, 692737.4098576782 9308837.208557291, 692781.931140772 9308840.23518838, 692827.9688988964 9308826.645438412, 692907.208962465 9308816.838550169, 692908.6604080207 9308824.022398407, 692916.4304161803 9308864.39690931, 692919.123916385 9308875.690766275, 692919.2813811684 9308876.453348199, 692921.6490320079 9308886.26631551, 692923.6243222994 9308894.56543512, 692939.6610732643 9308961.56588867, 692939.7936923106 9308961.51015178, 692940.0293216747 9308962.48260477, 692947.1549468553 9308958.687707994, 692954.4056423 9308955.898807937, 693031.3418371035 9308942.106958231, 693089.7108135978 9308932.612366088, 693095.0314059008 9308931.820554625, 693096.3363784212 9308931.53973905, 693144.8057205076 9308923.64836877, 693147.7373381625 9308923.306857606, 693150.4357811423 9308922.7338707, 693156.6078244351 9308921.729097834, 693247.3698857235 9308902.239659207, 693258.4842632803 9308899.847090254, 693257.9374187189 9308901.806435995, 693259.7251839067 9308900.274290811, 693259.7027197389 9308900.174829945, 693406.820215028 9308881.39381795, 693406.8739693454 9308880.918080796, 693405.1111804798 9308859.98830178, 693402.3211379237 9308849.645878734, 693399.2286161286 9308838.198510693, 693397.0283149324 9308828.816304987, 693410.8251585995 9308827.708750162, 693422.4233361569 9308827.703388907, 693456.103832298 9308828.808003828, 693477.6309722868 9308829.366844306, 693497.5054391396 9308828.814160801, 693512.9622805071 9308831.018915059, 693607.9318059554 9308832.12978339, 693621.7304999287 9308831.575147236, 693662.0383246852 9308832.126742532, 693708.9880493412 9308833.187063757, 693735.462297403 9308833.784644041, 693755.333024272 9308838.750585381, 693788.4676283551 9308838.750876766, 693808.8463214099 9308840.054408366, 693808.705511202 9308834.32604429, 693810.4369496208 9308772.674496733, 693809.184718988 9308755.55852447, 693807.8283191567 9308737.071518285, 693813.1468000353 9308722.355700158, 693826.7210084156 9308714.214921372, 693852.4985072619 9308718.287445221, 693862.0275755043 9308705.116986452, 693862.0287758438 9308692.188396072, 693856.991741127 9308665.142514646, 693851.3572595054 9308634.825004399, 693851.2108852509 9308634.073444244, 693846.6245215914 9308609.42597994, 693844.7040502083 9308584.404670587, 693880.8511355957 9308585.124761386, 693892.8153444858 9308585.372442381, 693919.7630768949 9308578.635861544, 693937.0912216159 9308554.578926133, 693948.6330874949 9308534.367868094, 693959.2171013019 9308518.970895186, 693994.6358863299 9308497.09870372, 693996.2303574437 9308497.347756306, 693997.5442857846 9308496.436493207, 694004.2984856921 9308490.806786753, 694009.2758307096 9308486.653922722, 694015.3766432689 9308480.893678801, 694034.4842950341 9308466.131829794, 694038.826254264 9308453.973976502, 694050.1169878265 9308414.896148486, 694063.1391102858 9308390.577021055, 694078.7669497471 9308381.02473802, 694078.5137385565 9308378.105864463, 694071.8217511434 9308302.86802799, 694070.9517338418 9308257.714831995, 694052.7229587191 9308247.29121468, 694044.0309869542 9308236.006308785, 694101.347778566 9308226.447608052, 694123.0547398729 9308221.243527303, 694126.5305243683 9308208.214843467, 694130.0063065304 9308195.186158929, 694097.8733317571 9308193.4575338, 694082.5335291587 9308193.132707007, 694047.5154585114 9308192.40904204, 694014.5116572962 9308191.711814761, 694004.0927288006 9308176.948914908, 693998.0072938895 9308167.40271812, 693998.0137487284 9308166.02025461, 693998.0792189629 9308152.472104749, 693998.0902488227 9308152.461008418, 693998.023848264 9308152.461229943, 694004.386518847 9308132.322706092, 694017.3727361982 9308103.900605476, 694015.5043001784 9308104.459816795, 694023.9425680968 9308089.468105853, 694024.0635642507 9308089.246511348, 694039.6926235736 9308070.138771404, 694055.2531007009 9308053.69660212, 694063.4764140144 9308030.6763717, 694076.6354182973 9308010.935404934, 694079.0359683618 9308007.333040562, 694081.30438181 9308003.930188848, 694096.379457794 9307981.32945551, 694103.4396456591 9307901.64399931, 694098.3513154377 9307832.771100348, 694091.5161771165 9307747.85664028, 694091.4585167227 9307747.160081666, 693915.0853515589 9307750.038180588, 693905.1642229438 9307751.774451664, 693905.065102533 9307751.918556305, 693904.8766368811 9307751.81964933, 693903.7484998015 9307752.02248496, 693892.1019653422 9307754.063117756, 693868.5498970744 9307753.489177309, 693851.8455950727 9307742.186761698, 693849.0171742173 9307740.271838142, 693823.741010062 9307713.846455166, 693799.7572302746 9307693.322544787, 693781.1015486023 9307670.967099074, 693774.732214801 9307662.549920889, 693761.6044861951 9307645.197063599, 693753.895488696 9307613.37133773, 693760.6441901464 9307609.444820689, 693774.0972905606 9307594.945156045, 693769.7935230414 9307568.759492235, 693765.4869147576 9307545.040112685, 693768.8384834863 9307537.906599913, 693781.4949845339 9307533.429516062, 693814.3867433562 9307523.886019677, 693832.0973698108 9307518.396704013, 693847.2870534938 9307513.590425031, 693858.2551505512 9307510.556693958, 693914.7640669893 9307494.597206676, 693931.1642606403 9307494.376568407, 693944.3794708434 9307491.51226994, 693982.3024337236 9307484.042119902, 694009.8807787977 9307484.038501235, 694029.4072639315 9307492.079929665, 694047.2184269788 9307500.127082583, 694079.9691338264 9307517.934139, 694090.8786104209 9307513.916257357, 694102.3731216567 9307512.76084049, 694117.8887421574 9307512.764297161, 694166.1379523668 9307512.193856351, 694194.8715789596 9307516.787064992, 694213.8279501918 9307523.105057644, 694228.7690172757 9307530.000506379, 694253.2375453198 9307539.894414654, 694255.764182185 9307540.914505024, 694280.472842254 9307556.425854681, 694305.1714649221 9307565.6222253, 694305.4189708177 9307563.520082155, 694306.7324868577 9307552.56673, 694322.5023546498 9307479.686811583, 694324.1917150775 9307471.917352196, 694328.3539827736 9307455.723297842, 694303.0146338755 9307450.167685635, 694272.6023993976 9307446.630808633, 694253.1737150844 9307444.682942841, 694231.1975453182 9307435.477463668, 694219.3328960419 9307421.913886668, 694211.6833809032 9307407.960191004, 694197.2970180159 9307398.15423096, 694153.216257374 9307347.92535016, 694131.5697558742 9307334.69307098, 694045.7392161563 9307358.79108516, 694044.8670598437 9307359.424392775, 693997.2940206255 9307366.904721987, 694036.9518411068 9307289.112153167, 694010.7303142191 9307267.8990804, 693988.2704246684 9307256.306294192, 693949.4250608408 9307252.631558279, 693930.8344021472 9307249.740746744, 693908.8594536729 9307240.85590284, 693885.154155146 9307224.15773947, 693877.5873804841 9307211.752087286, 693874.0521952088 9307187.079012305, 693878.2281875148 9307171.659139685, 693898.3681670206 9307134.785760267, 693905.0710882854 9307120.485516423, 693908.4204412821 9307099.450154372, 693901.2362570681 9307082.309749147, 693894.0276847526 9307054.552272309, 693882.9030794111 9307037.20383674, 693882.3819177907 9307036.895910263, 693882.2039297678 9307036.620016322, 693881.4918669001 9307035.483262321, 693900.6888743859 9307024.448089933, 693893.2898064828 9306995.983440567, 693894.1652978004 9306959.904313292, 693893.7079130576 9306958.81094707, 693893.6730880919 9306958.324443854, 693890.7049845565 9306914.58283747, 693898.4123989025 9306876.335336674, 693884.1208649153 9306865.047054907, 693866.955728708 9306844.931802034, 693855.0813464324 9306808.519242156, 693932.4988233576 9306734.283348013, 693937.4815296878 9306731.789359303, 693937.59171406 9306731.645217063, 693928.5129546759 9306720.472246138, 693898.9522022349 9306690.113065863, 693854.9886840753 9306644.960105065, 693849.4258734145 9306639.437863888, 693821.4770065175 9306611.218830403, 693804.5300417282 9306593.447476396, 693746.0758022293 9306533.62264665, 693689.3119027298 9306476.22524242, 693689.356057642 9306476.191916406, 693665.0619335053 9306452.07478948, 693636.1895644707 9306422.31046577, 693636.0563244923 9306422.178196292, 693637.1042738312 9306421.168281231, 693636.4491034222 9306420.495837504, 693671.3827293658 9306386.326927269, 693680.5217441027 9306369.176264038, 693684.0357741502 9306361.013658494, 693728.4779862415 9306364.039312478, 693767.0833758865 9306319.26302345, 693767.9540741071 9306318.198399384, 693768.1556152441 9306315.587676724, 693768.142627386 9306315.012624517, 693776.0596012681 9306160.683587395, 693777.6179172208 9306120.333206456, 693829.1237640528 9306121.056860149, 693927.0828242863 9306127.221236514, 693945.6671458199 9306128.32032453, 693960.0224873935 9306128.946934551, 694033.471607183 9306129.176734827, 694079.064232353 9306128.769765925, 694106.9339676459 9306130.047851926, 694144.934188301 9306132.707626134, 694164.3574695182 9306133.173442021, 694171.1109641397 9306134.046648929, 694250.5061398875 9306141.854179256, 694300.3131160671 9306140.835703265, 694319.7272236032 9306138.558727864, 694331.5457987414 9306138.4195805, 694345.0599795822 9306139.00467829, 694361.9357139195 9306151.99839415, 694372.7420062221 9306153.598984038, 694391.7367206202 9306082.344882933, 694396.4304594073 9305983.799473125, 694393.4843115017 9305976.465801511, 694393.4001187629 9305951.36086932, 694397.9079660983 9305929.392512273, 694396.4860292268 9305756.215529045, 694399.5502139388 9305755.85134341, 694518.3904827485 9305741.959862249, 694684.622764472 9305719.802239062, 694744.7929963141 9305746.70708984, 694778.0316279351 9305751.793379653, 694896.7786863124 9305756.21609646, 694917.2350885596 9305754.57682883, 694949.4852477057 9305752.013109956, 694952.2400627777 9305751.793709652, 694948.6222041339 9305732.318871727, 694940.3989005662 9305669.550148623, 694939.5315889287 9305661.744991545, 694934.1213804538 9305629.236921338, 694927.4689459319 9305589.323102197, 694925.7417503602 9305579.209383188, 694915.4583311728 9305532.362356806, 694913.3062028575 9305517.6492763, 694912.0036214199 9305508.750684688, 694911.1314582125 9305502.7924973, 694906.8550236042 9305484.923520708, 694888.843530029 9305397.502729544, 694877.9533958297 9305357.802250706, 694844.8570886832 9305237.0875564, 694833.070559148 9305194.083282188, 694828.4213412225 9305180.52880658, 694827.8621866447 9305178.794332096, 694810.5828056537 9305124.748951733, 694794.5448931095 9305074.592372919, 694783.3831436251 9305039.659504674, 694775.3659523869 9305005.235857366, 694762.8237411692 9304951.406797713, 694758.6725094044 9304941.13534787, 694753.1153285309 9304927.41803708, 694727.8172140147 9304841.747110015, 694727.4039328061 9304840.609363046, 694715.6086562652 9304808.133863335, 694716.3713654355 9304807.876926424, 694732.0341398576 9304802.482440203, 694732.3810613593 9304803.631469991, 694885.6745759187 9304761.885234963, 694897.0457229228 9304786.686792564, 694908.7739222168 9304786.072190927, 694908.6395264146 9304785.597080879, 694964.9169882986 9304780.618688408, 694962.8669073301 9304750.222751478, 695028.6805647154 9304757.510434639, 695030.5982125956 9304755.170394547, 695041.4534950393 9304643.332249688, 695042.072765893 9304616.941941595, 695041.5656917777 9304614.245107228, 695042.9230792375 9304547.</t>
  </si>
  <si>
    <t xml:space="preserve">Urbanisation </t>
  </si>
  <si>
    <t>Population</t>
  </si>
  <si>
    <t xml:space="preserve">Urbanisation change rate </t>
  </si>
  <si>
    <t>Total area (km²)</t>
  </si>
  <si>
    <t>Total area 2025 (km²)</t>
  </si>
  <si>
    <t>Urbanisation Rate</t>
  </si>
  <si>
    <t>Total (mi)</t>
  </si>
  <si>
    <r>
      <t>Mean density 2025 (pop/km</t>
    </r>
    <r>
      <rPr>
        <b/>
        <sz val="9"/>
        <color theme="1"/>
        <rFont val="Calibri"/>
        <family val="2"/>
        <scheme val="minor"/>
      </rPr>
      <t>²)</t>
    </r>
  </si>
  <si>
    <t>1980-1990</t>
  </si>
  <si>
    <t>2015-2025</t>
  </si>
  <si>
    <t>1980-2025</t>
  </si>
  <si>
    <t>Urban area 1975</t>
  </si>
  <si>
    <t>Urban area 1990</t>
  </si>
  <si>
    <t>Jabodetabek region</t>
  </si>
  <si>
    <t>Core</t>
  </si>
  <si>
    <t>Inner suburbs</t>
  </si>
  <si>
    <t>Outer suburbs</t>
  </si>
  <si>
    <t>row_refs</t>
  </si>
  <si>
    <t>col_refs</t>
  </si>
  <si>
    <t>BF:BG</t>
  </si>
  <si>
    <t>BM:BN</t>
  </si>
  <si>
    <t>BF:BN</t>
  </si>
  <si>
    <t>W</t>
  </si>
  <si>
    <t>B</t>
  </si>
  <si>
    <t>M</t>
  </si>
  <si>
    <t>GPRD Indonesia per Province</t>
  </si>
  <si>
    <t>Sumatra</t>
  </si>
  <si>
    <t>Java</t>
  </si>
  <si>
    <t>Bali &amp; Nusa Tenggara</t>
  </si>
  <si>
    <t>Kalimantan</t>
  </si>
  <si>
    <t>Sulawesi</t>
  </si>
  <si>
    <t>Maluku &amp; Papua</t>
  </si>
  <si>
    <t>TOTAL</t>
  </si>
  <si>
    <t>Jabodetabek</t>
  </si>
  <si>
    <t>2023 (in billion IDR)</t>
  </si>
  <si>
    <t>population</t>
  </si>
  <si>
    <t>Total population</t>
  </si>
  <si>
    <t>HH per cell area</t>
  </si>
  <si>
    <t>pax/hh</t>
  </si>
  <si>
    <t>1980-2000</t>
  </si>
  <si>
    <t>DP HH</t>
  </si>
  <si>
    <t>LI HH</t>
  </si>
  <si>
    <t>MI HH</t>
  </si>
  <si>
    <t>HI HH</t>
  </si>
  <si>
    <t>LI %</t>
  </si>
  <si>
    <t>MI %</t>
  </si>
  <si>
    <t>HI %</t>
  </si>
  <si>
    <t>DP %</t>
  </si>
  <si>
    <t>STD</t>
  </si>
  <si>
    <t>SSP1</t>
  </si>
  <si>
    <t>SSP2</t>
  </si>
  <si>
    <t>SSP3</t>
  </si>
  <si>
    <t>Scenario</t>
  </si>
  <si>
    <t>Source:</t>
  </si>
  <si>
    <t>Population growth</t>
  </si>
  <si>
    <t xml:space="preserve">  Narrative</t>
  </si>
  <si>
    <t xml:space="preserve">  Quantification - max</t>
  </si>
  <si>
    <t xml:space="preserve">  Quantification - min</t>
  </si>
  <si>
    <t>std</t>
  </si>
  <si>
    <t>Number of deprived HH</t>
  </si>
  <si>
    <t>Number of low income HH</t>
  </si>
  <si>
    <t>Number of middle income HH</t>
  </si>
  <si>
    <t>Number of high income HH</t>
  </si>
  <si>
    <t>-</t>
  </si>
  <si>
    <t>2000-2020 calibration</t>
  </si>
  <si>
    <t xml:space="preserve">- Decreasing growth rates since 1990s
</t>
  </si>
  <si>
    <t>Suburban centres Utility</t>
  </si>
  <si>
    <t>- Population maintains current growth pattern</t>
  </si>
  <si>
    <t>- Population growth decreases, with potential sharp decrease on the long run</t>
  </si>
  <si>
    <t>- Growth much above the mean</t>
  </si>
  <si>
    <t>- Growth above the mean</t>
  </si>
  <si>
    <t>- Strong reduction</t>
  </si>
  <si>
    <t>- Slight increase (25%)</t>
  </si>
  <si>
    <t>agent</t>
  </si>
  <si>
    <t>suburban</t>
  </si>
  <si>
    <t>neighbour</t>
  </si>
  <si>
    <t>bu</t>
  </si>
  <si>
    <t>cbd</t>
  </si>
  <si>
    <t>mall</t>
  </si>
  <si>
    <t>markets</t>
  </si>
  <si>
    <t>road</t>
  </si>
  <si>
    <t>density</t>
  </si>
  <si>
    <t>schools</t>
  </si>
  <si>
    <t>attractive</t>
  </si>
  <si>
    <t>health</t>
  </si>
  <si>
    <t>random</t>
  </si>
  <si>
    <t>water</t>
  </si>
  <si>
    <t>dp</t>
  </si>
  <si>
    <t>li</t>
  </si>
  <si>
    <t>mi</t>
  </si>
  <si>
    <t>hi</t>
  </si>
  <si>
    <t>mi_red</t>
  </si>
  <si>
    <t>hi_red</t>
  </si>
  <si>
    <t>- Small reduction</t>
  </si>
  <si>
    <t>- Strong increase</t>
  </si>
  <si>
    <t>- Stable</t>
  </si>
  <si>
    <t>- Strong decrease</t>
  </si>
  <si>
    <t>- Small decrease</t>
  </si>
  <si>
    <t>- Strong suburban development
- Suburban centers have little influence (mostly roads)</t>
  </si>
  <si>
    <t>Neighbour</t>
  </si>
  <si>
    <t>Built up utility</t>
  </si>
  <si>
    <t>CBD utility</t>
  </si>
  <si>
    <t>Mall utility</t>
  </si>
  <si>
    <t>Markets utility</t>
  </si>
  <si>
    <t>Road utility</t>
  </si>
  <si>
    <t>Density utility</t>
  </si>
  <si>
    <t>Schools untility</t>
  </si>
  <si>
    <t>Attractive areas utility</t>
  </si>
  <si>
    <t>Health utility</t>
  </si>
  <si>
    <t>Random</t>
  </si>
  <si>
    <t>?</t>
  </si>
  <si>
    <t>- Edge expansion growth seems to dominate new cells over most periods</t>
  </si>
  <si>
    <t>- Little expression in expansion
- Income levels also do not seem to respond much</t>
  </si>
  <si>
    <t>- Located in the outskirts
- Depend on motorbikes or public transportation
- Differences to DP?</t>
  </si>
  <si>
    <t>- Located in the outskirts
- Depend on motorbikes or public transportation
- Differences to LI?</t>
  </si>
  <si>
    <t>- Cluster around the CBD
- Favour location of large houses</t>
  </si>
  <si>
    <t>- SSP Narratives
- Analysis of population distribution 1980-2020</t>
  </si>
  <si>
    <t>- SSP Narratives
- GDP distribution raster in Kummu et al.2025
- Analysis in Janssen &amp; Molder 2022</t>
  </si>
  <si>
    <t>- Analysis in Janssen &amp; Molder 2022</t>
  </si>
  <si>
    <t>- Significant for growth
- Significant for middle income distribution</t>
  </si>
  <si>
    <t>- Very significant for high income</t>
  </si>
  <si>
    <t>OBJECTID</t>
  </si>
  <si>
    <t>Shape_Leng</t>
  </si>
  <si>
    <t>Shape_Area</t>
  </si>
  <si>
    <t>AREA_NAME</t>
  </si>
  <si>
    <t>GEO_CONCAT</t>
  </si>
  <si>
    <t>GEO_MATCH</t>
  </si>
  <si>
    <t>CNTRY_NAME</t>
  </si>
  <si>
    <t>ADM1_NAME</t>
  </si>
  <si>
    <t>ADM2_NAME</t>
  </si>
  <si>
    <t>ADM_LEVEL</t>
  </si>
  <si>
    <t>NSO_CODE</t>
  </si>
  <si>
    <t>ADM2_NmEn</t>
  </si>
  <si>
    <t>mean_2000</t>
  </si>
  <si>
    <t>min_2000</t>
  </si>
  <si>
    <t>max_2000</t>
  </si>
  <si>
    <t>std_2000</t>
  </si>
  <si>
    <t>percentile_25_2000</t>
  </si>
  <si>
    <t>percentile_75_2000</t>
  </si>
  <si>
    <t>percentile_25_2020</t>
  </si>
  <si>
    <t>percentile_75_2020</t>
  </si>
  <si>
    <t>cell_count_2000</t>
  </si>
  <si>
    <t>cells_0_25th_2000</t>
  </si>
  <si>
    <t>cells_75th_max_2000</t>
  </si>
  <si>
    <t>cells_25th_median_2000</t>
  </si>
  <si>
    <t>cells_median_75th_2000</t>
  </si>
  <si>
    <t>KOTA JAKARTA SELATAN</t>
  </si>
  <si>
    <t>INDONESIA_JAKARTA_KOTA JAKARTA SELATAN</t>
  </si>
  <si>
    <t>IDN_06_02</t>
  </si>
  <si>
    <t>INDONESIA</t>
  </si>
  <si>
    <t>JAKARTA</t>
  </si>
  <si>
    <t>2</t>
  </si>
  <si>
    <t>3171</t>
  </si>
  <si>
    <t>South Jakarta</t>
  </si>
  <si>
    <t>KOTA JAKARTA TIMUR</t>
  </si>
  <si>
    <t>INDONESIA_JAKARTA_KOTA JAKARTA TIMUR</t>
  </si>
  <si>
    <t>IDN_06_03</t>
  </si>
  <si>
    <t>3172</t>
  </si>
  <si>
    <t>East Jakarta</t>
  </si>
  <si>
    <t>KOTA JAKARTA PUSAT</t>
  </si>
  <si>
    <t>INDONESIA_JAKARTA_KOTA JAKARTA PUSAT</t>
  </si>
  <si>
    <t>IDN_06_04</t>
  </si>
  <si>
    <t>3173</t>
  </si>
  <si>
    <t>Central Jakarta</t>
  </si>
  <si>
    <t>KOTA JAKARTA BARAT</t>
  </si>
  <si>
    <t>INDONESIA_JAKARTA_KOTA JAKARTA BARAT</t>
  </si>
  <si>
    <t>IDN_06_05</t>
  </si>
  <si>
    <t>3174</t>
  </si>
  <si>
    <t>West Jakarta</t>
  </si>
  <si>
    <t>KOTA JAKARTA UTARA</t>
  </si>
  <si>
    <t>INDONESIA_JAKARTA_KOTA JAKARTA UTARA</t>
  </si>
  <si>
    <t>IDN_06_06</t>
  </si>
  <si>
    <t>3175</t>
  </si>
  <si>
    <t>North Jakarta</t>
  </si>
  <si>
    <t>KABUPATEN BOGOR</t>
  </si>
  <si>
    <t>INDONESIA_JAWA BARAT_KABUPATEN BOGOR</t>
  </si>
  <si>
    <t>IDN_09_01</t>
  </si>
  <si>
    <t>JAWA BARAT</t>
  </si>
  <si>
    <t>3201</t>
  </si>
  <si>
    <t>KABUPATEN BEKASI</t>
  </si>
  <si>
    <t>INDONESIA_JAWA BARAT_KABUPATEN BEKASI</t>
  </si>
  <si>
    <t>IDN_09_16</t>
  </si>
  <si>
    <t>3216</t>
  </si>
  <si>
    <t>KOTA BOGOR</t>
  </si>
  <si>
    <t>INDONESIA_JAWA BARAT_KOTA BOGOR</t>
  </si>
  <si>
    <t>IDN_09_19</t>
  </si>
  <si>
    <t>3271</t>
  </si>
  <si>
    <t>KOTA BEKASI</t>
  </si>
  <si>
    <t>INDONESIA_JAWA BARAT_KOTA BEKASI</t>
  </si>
  <si>
    <t>IDN_09_23</t>
  </si>
  <si>
    <t>3275</t>
  </si>
  <si>
    <t>KOTA DEPOK</t>
  </si>
  <si>
    <t>INDONESIA_JAWA BARAT_KOTA DEPOK</t>
  </si>
  <si>
    <t>IDN_09_24</t>
  </si>
  <si>
    <t>3276</t>
  </si>
  <si>
    <t>Depok</t>
  </si>
  <si>
    <t>KABUPATEN TANGERANG</t>
  </si>
  <si>
    <t>INDONESIA_BANTEN_KABUPATEN TANGERANG</t>
  </si>
  <si>
    <t>IDN_03_03</t>
  </si>
  <si>
    <t>BANTEN</t>
  </si>
  <si>
    <t>3603</t>
  </si>
  <si>
    <t>KOTA TANGERANG</t>
  </si>
  <si>
    <t>INDONESIA_BANTEN_KOTA TANGERANG</t>
  </si>
  <si>
    <t>IDN_03_05</t>
  </si>
  <si>
    <t>3671</t>
  </si>
  <si>
    <t>KOTA TANGERANG SELATAN</t>
  </si>
  <si>
    <t>INDONESIA_BANTEN_KOTA TANGERANG SELATAN</t>
  </si>
  <si>
    <t>IDN_03_08</t>
  </si>
  <si>
    <t>3674</t>
  </si>
  <si>
    <t>sum</t>
  </si>
  <si>
    <t>min</t>
  </si>
  <si>
    <t>max</t>
  </si>
  <si>
    <t>pct_min</t>
  </si>
  <si>
    <t>pct_max</t>
  </si>
  <si>
    <t>cell_count_2020</t>
  </si>
  <si>
    <t>cells_0_25th_2020</t>
  </si>
  <si>
    <t>cells_25th_median_2020</t>
  </si>
  <si>
    <t>cells_median_75th_2020</t>
  </si>
  <si>
    <t>cells_75th_max_2020</t>
  </si>
  <si>
    <t>deprived</t>
  </si>
  <si>
    <t>low income</t>
  </si>
  <si>
    <t>mid income</t>
  </si>
  <si>
    <t>high income</t>
  </si>
  <si>
    <t>Percentages</t>
  </si>
  <si>
    <t>pct_mean</t>
  </si>
  <si>
    <t xml:space="preserve">  Quantification - 2000</t>
  </si>
  <si>
    <t xml:space="preserve">  Quantification - 2020</t>
  </si>
  <si>
    <t>Consistency check</t>
  </si>
  <si>
    <t>ssp1</t>
  </si>
  <si>
    <t>ssp2</t>
  </si>
  <si>
    <t>ssp3</t>
  </si>
  <si>
    <t>dp_pc</t>
  </si>
  <si>
    <t>li_pc</t>
  </si>
  <si>
    <t>mi_pc</t>
  </si>
  <si>
    <t>hi_pc</t>
  </si>
  <si>
    <t>hh_number</t>
  </si>
  <si>
    <t xml:space="preserve">  mi people</t>
  </si>
  <si>
    <t>slope_coefficient</t>
  </si>
  <si>
    <t>critical_slope</t>
  </si>
  <si>
    <t>development_control</t>
  </si>
  <si>
    <t xml:space="preserve">  Quantification total HH</t>
  </si>
  <si>
    <t>- Populations projections for Indonesia in the IIASA SSP Database, inverted (SSP1=SSP3)</t>
  </si>
  <si>
    <t>SSP projections</t>
  </si>
  <si>
    <t>Quintiles of percapita HH expenditure</t>
  </si>
  <si>
    <t>Middle</t>
  </si>
  <si>
    <t>Total</t>
  </si>
  <si>
    <t>Regency/municipality</t>
  </si>
  <si>
    <t xml:space="preserve">  Simeulue</t>
  </si>
  <si>
    <t xml:space="preserve">  Aceh Singkil</t>
  </si>
  <si>
    <t xml:space="preserve">  Aceh Selatan</t>
  </si>
  <si>
    <t xml:space="preserve">  Aceh Tenggara</t>
  </si>
  <si>
    <t xml:space="preserve">  Aceh Timur</t>
  </si>
  <si>
    <t xml:space="preserve">  Aceh Tengah</t>
  </si>
  <si>
    <t xml:space="preserve">  Aceh Barat</t>
  </si>
  <si>
    <t xml:space="preserve">  Aceh Besar</t>
  </si>
  <si>
    <t xml:space="preserve">  Pidie</t>
  </si>
  <si>
    <t xml:space="preserve">  Bireuen</t>
  </si>
  <si>
    <t xml:space="preserve">  Aceh Utara</t>
  </si>
  <si>
    <t xml:space="preserve">  Aceh Barat Daya</t>
  </si>
  <si>
    <t xml:space="preserve">  Gayo Lues</t>
  </si>
  <si>
    <t xml:space="preserve">  Aceh Tamiang</t>
  </si>
  <si>
    <t xml:space="preserve">  Nagan Raya</t>
  </si>
  <si>
    <t xml:space="preserve">  Aceh Jaya</t>
  </si>
  <si>
    <t xml:space="preserve">  Bener Meriah</t>
  </si>
  <si>
    <t xml:space="preserve">  Pidie Jaya</t>
  </si>
  <si>
    <t xml:space="preserve">  Kota Banda Aceh</t>
  </si>
  <si>
    <t xml:space="preserve">  Kota Sabang</t>
  </si>
  <si>
    <t xml:space="preserve">  Kota Langsa</t>
  </si>
  <si>
    <t xml:space="preserve">  Kota Lhokseumawe</t>
  </si>
  <si>
    <t xml:space="preserve">  Kota Subulussalam</t>
  </si>
  <si>
    <t xml:space="preserve">  Nias</t>
  </si>
  <si>
    <t xml:space="preserve">  Mandailing Natal</t>
  </si>
  <si>
    <t xml:space="preserve">  Tapanuli Selatan</t>
  </si>
  <si>
    <t xml:space="preserve">  Tapanuli Tengah</t>
  </si>
  <si>
    <t xml:space="preserve">  Tapanuli Utara</t>
  </si>
  <si>
    <t xml:space="preserve">  Toba Samosir</t>
  </si>
  <si>
    <t xml:space="preserve">  Labuhan Batu</t>
  </si>
  <si>
    <t xml:space="preserve">  Asahan</t>
  </si>
  <si>
    <t xml:space="preserve">  Simalungun</t>
  </si>
  <si>
    <t xml:space="preserve">  Dairi</t>
  </si>
  <si>
    <t xml:space="preserve">  Karo</t>
  </si>
  <si>
    <t xml:space="preserve">  Deli Serdang</t>
  </si>
  <si>
    <t xml:space="preserve">  Langkat</t>
  </si>
  <si>
    <t xml:space="preserve">  Nias Selatan</t>
  </si>
  <si>
    <t xml:space="preserve">  Humbang Hasundutan</t>
  </si>
  <si>
    <t xml:space="preserve">  Pakpak Bharat</t>
  </si>
  <si>
    <t xml:space="preserve">  Samosir</t>
  </si>
  <si>
    <t xml:space="preserve">  Serdang Bedagai</t>
  </si>
  <si>
    <t xml:space="preserve">  Batu Bara</t>
  </si>
  <si>
    <t xml:space="preserve">  Padang Lawas Utara</t>
  </si>
  <si>
    <t xml:space="preserve">  Padang Lawas</t>
  </si>
  <si>
    <t xml:space="preserve">  Labuhan Batu Selatan</t>
  </si>
  <si>
    <t xml:space="preserve">  Labuhan Batu Utara</t>
  </si>
  <si>
    <t xml:space="preserve">  Nias Utara</t>
  </si>
  <si>
    <t xml:space="preserve">  Nias Barat</t>
  </si>
  <si>
    <t xml:space="preserve">  Kota Sibolga</t>
  </si>
  <si>
    <t xml:space="preserve">  Kota Tanjung Balai</t>
  </si>
  <si>
    <t xml:space="preserve">  Kota Pematang Siantar</t>
  </si>
  <si>
    <t xml:space="preserve">  Kota Tebing Tinggi</t>
  </si>
  <si>
    <t xml:space="preserve">  Kota Medan</t>
  </si>
  <si>
    <t xml:space="preserve">  Kota Binjai</t>
  </si>
  <si>
    <t xml:space="preserve">  Kota Padangsidimpuan</t>
  </si>
  <si>
    <t xml:space="preserve">  Kota Gunungsitoli</t>
  </si>
  <si>
    <t xml:space="preserve">  Kepulauan Mentawai</t>
  </si>
  <si>
    <t xml:space="preserve">  Pesisir Selatan</t>
  </si>
  <si>
    <t xml:space="preserve">  Solok</t>
  </si>
  <si>
    <t xml:space="preserve">  Sijunjung</t>
  </si>
  <si>
    <t xml:space="preserve">  Tanah Datar</t>
  </si>
  <si>
    <t xml:space="preserve">  Padang Pariaman</t>
  </si>
  <si>
    <t xml:space="preserve">  Agam</t>
  </si>
  <si>
    <t xml:space="preserve">  Lima Puluh Kota</t>
  </si>
  <si>
    <t xml:space="preserve">  Pasaman</t>
  </si>
  <si>
    <t xml:space="preserve">  Solok Selatan</t>
  </si>
  <si>
    <t xml:space="preserve">  Dharmasraya</t>
  </si>
  <si>
    <t xml:space="preserve">  Pasaman Barat</t>
  </si>
  <si>
    <t xml:space="preserve">  Kota Padang</t>
  </si>
  <si>
    <t xml:space="preserve">  Kota Solok</t>
  </si>
  <si>
    <t xml:space="preserve">  Kota Sawah Lunto</t>
  </si>
  <si>
    <t xml:space="preserve">  Kota Padang Panjang</t>
  </si>
  <si>
    <t xml:space="preserve">  Kota Bukittinggi</t>
  </si>
  <si>
    <t xml:space="preserve">  Kota Payakumbuh</t>
  </si>
  <si>
    <t xml:space="preserve">  Kota Pariaman</t>
  </si>
  <si>
    <t xml:space="preserve">  Kuantan Singingi</t>
  </si>
  <si>
    <t xml:space="preserve">  Indragiri Hulu</t>
  </si>
  <si>
    <t xml:space="preserve">  Indragiri Hilir</t>
  </si>
  <si>
    <t xml:space="preserve">  Pelalawan</t>
  </si>
  <si>
    <t xml:space="preserve">  Siak</t>
  </si>
  <si>
    <t xml:space="preserve">  Kampar</t>
  </si>
  <si>
    <t xml:space="preserve">  Rokan Hulu</t>
  </si>
  <si>
    <t xml:space="preserve">  Bengkalis</t>
  </si>
  <si>
    <t xml:space="preserve">  Rokan Hilir</t>
  </si>
  <si>
    <t xml:space="preserve">  Kepulauan Meranti</t>
  </si>
  <si>
    <t xml:space="preserve">  Kota Pekanbaru</t>
  </si>
  <si>
    <t xml:space="preserve">  Kota Dumai</t>
  </si>
  <si>
    <t xml:space="preserve">  Kerinci</t>
  </si>
  <si>
    <t xml:space="preserve">  Merangin</t>
  </si>
  <si>
    <t xml:space="preserve">  Sarolangun</t>
  </si>
  <si>
    <t xml:space="preserve">  Batang Hari</t>
  </si>
  <si>
    <t xml:space="preserve">  Muaro Jambi</t>
  </si>
  <si>
    <t xml:space="preserve">  Tanjung Jabung Timur</t>
  </si>
  <si>
    <t xml:space="preserve">  Tanjung Jabung Barat</t>
  </si>
  <si>
    <t xml:space="preserve">  Tebo</t>
  </si>
  <si>
    <t xml:space="preserve">  Bungo</t>
  </si>
  <si>
    <t xml:space="preserve">  Kota Jambi</t>
  </si>
  <si>
    <t xml:space="preserve">  Kota Sungai Penuh</t>
  </si>
  <si>
    <t xml:space="preserve">  Ogan Komering Ulu</t>
  </si>
  <si>
    <t xml:space="preserve">  Ogan Komering Ilir</t>
  </si>
  <si>
    <t xml:space="preserve">  Muara Enim</t>
  </si>
  <si>
    <t xml:space="preserve">  Lahat</t>
  </si>
  <si>
    <t xml:space="preserve">  Musi Rawas</t>
  </si>
  <si>
    <t xml:space="preserve">  Musi Banyuasin</t>
  </si>
  <si>
    <t xml:space="preserve">  Banyu Asin</t>
  </si>
  <si>
    <t xml:space="preserve">  Ogan Komering Ulu Selatan</t>
  </si>
  <si>
    <t xml:space="preserve">  Ogan Komering Ulu Timur</t>
  </si>
  <si>
    <t xml:space="preserve">  Ogan Ilir</t>
  </si>
  <si>
    <t xml:space="preserve">  Empat Lawang</t>
  </si>
  <si>
    <t xml:space="preserve">  Penukal Abab Lematang Ilir</t>
  </si>
  <si>
    <t xml:space="preserve">  Musi Rawas Utara</t>
  </si>
  <si>
    <t xml:space="preserve">  Kota Palembang</t>
  </si>
  <si>
    <t xml:space="preserve">  Kota Prabumulih</t>
  </si>
  <si>
    <t xml:space="preserve">  Kota Pagar Alam</t>
  </si>
  <si>
    <t xml:space="preserve">  Kota Lubuklinggau</t>
  </si>
  <si>
    <t xml:space="preserve">  Bengkulu Selatan</t>
  </si>
  <si>
    <t xml:space="preserve">  Rejang Lebong</t>
  </si>
  <si>
    <t xml:space="preserve">  Bengkulu Utara</t>
  </si>
  <si>
    <t xml:space="preserve">  Kaur</t>
  </si>
  <si>
    <t xml:space="preserve">  Seluma</t>
  </si>
  <si>
    <t xml:space="preserve">  Mukomuko</t>
  </si>
  <si>
    <t xml:space="preserve">  Lebong</t>
  </si>
  <si>
    <t xml:space="preserve">  Kepahiang</t>
  </si>
  <si>
    <t xml:space="preserve">  Bengkulu Tengah</t>
  </si>
  <si>
    <t xml:space="preserve">  Kota Bengkulu</t>
  </si>
  <si>
    <t xml:space="preserve">  Lampung Barat</t>
  </si>
  <si>
    <t xml:space="preserve">  Tanggamus</t>
  </si>
  <si>
    <t xml:space="preserve">  Lampung Selatan</t>
  </si>
  <si>
    <t xml:space="preserve">  Lampung Timur</t>
  </si>
  <si>
    <t xml:space="preserve">  Lampung Tengah</t>
  </si>
  <si>
    <t xml:space="preserve">  Lampung Utara</t>
  </si>
  <si>
    <t xml:space="preserve">  Way Kanan</t>
  </si>
  <si>
    <t xml:space="preserve">  Tulangbawang</t>
  </si>
  <si>
    <t xml:space="preserve">  Pesawaran</t>
  </si>
  <si>
    <t xml:space="preserve">  Pringsewu</t>
  </si>
  <si>
    <t xml:space="preserve">  Mesuji</t>
  </si>
  <si>
    <t xml:space="preserve">  Tulang Bawang Barat</t>
  </si>
  <si>
    <t xml:space="preserve">  Pesisir Barat</t>
  </si>
  <si>
    <t xml:space="preserve">  Kota Bandar Lampung</t>
  </si>
  <si>
    <t xml:space="preserve">  Kota Metro</t>
  </si>
  <si>
    <t xml:space="preserve">  Bangka</t>
  </si>
  <si>
    <t xml:space="preserve">  Belitung</t>
  </si>
  <si>
    <t xml:space="preserve">  Bangka Barat</t>
  </si>
  <si>
    <t xml:space="preserve">  Bangka Tengah</t>
  </si>
  <si>
    <t xml:space="preserve">  Bangka Selatan</t>
  </si>
  <si>
    <t xml:space="preserve">  Belitung Timur</t>
  </si>
  <si>
    <t xml:space="preserve">  Kota Pangkal Pinang</t>
  </si>
  <si>
    <t xml:space="preserve">  Karimun</t>
  </si>
  <si>
    <t xml:space="preserve">  Bintan</t>
  </si>
  <si>
    <t xml:space="preserve">  Natuna</t>
  </si>
  <si>
    <t xml:space="preserve">  Lingga</t>
  </si>
  <si>
    <t xml:space="preserve">  Kepulauan Anambas</t>
  </si>
  <si>
    <t xml:space="preserve">  Kota Batam</t>
  </si>
  <si>
    <t xml:space="preserve">  Kota Tanjung Pinang</t>
  </si>
  <si>
    <t xml:space="preserve">  Kepulauan Seribu</t>
  </si>
  <si>
    <t xml:space="preserve">  Kota Jakarta Selatan</t>
  </si>
  <si>
    <t xml:space="preserve">  Kota Jakarta Timur</t>
  </si>
  <si>
    <t xml:space="preserve">  Kota Jakarta Pusat</t>
  </si>
  <si>
    <t xml:space="preserve">  Kota Jakarta Barat</t>
  </si>
  <si>
    <t xml:space="preserve">  Kota Jakarta Utara</t>
  </si>
  <si>
    <t xml:space="preserve">  Bogor</t>
  </si>
  <si>
    <t xml:space="preserve">  Sukabumi</t>
  </si>
  <si>
    <t xml:space="preserve">  Cianjur</t>
  </si>
  <si>
    <t xml:space="preserve">  Bandung</t>
  </si>
  <si>
    <t xml:space="preserve">  Garut</t>
  </si>
  <si>
    <t xml:space="preserve">  Tasikmalaya</t>
  </si>
  <si>
    <t xml:space="preserve">  Ciamis</t>
  </si>
  <si>
    <t xml:space="preserve">  Kuningan</t>
  </si>
  <si>
    <t xml:space="preserve">  Cirebon</t>
  </si>
  <si>
    <t xml:space="preserve">  Majalengka</t>
  </si>
  <si>
    <t xml:space="preserve">  Sumedang</t>
  </si>
  <si>
    <t xml:space="preserve">  Indramayu</t>
  </si>
  <si>
    <t xml:space="preserve">  Subang</t>
  </si>
  <si>
    <t xml:space="preserve">  Purwakarta</t>
  </si>
  <si>
    <t xml:space="preserve">  Karawang</t>
  </si>
  <si>
    <t xml:space="preserve">  Bekasi</t>
  </si>
  <si>
    <t xml:space="preserve">  Bandung Barat</t>
  </si>
  <si>
    <t xml:space="preserve">  Pangandaran</t>
  </si>
  <si>
    <t xml:space="preserve">  Kota Bogor</t>
  </si>
  <si>
    <t xml:space="preserve">  Kota Sukabumi</t>
  </si>
  <si>
    <t xml:space="preserve">  Kota Bandung</t>
  </si>
  <si>
    <t xml:space="preserve">  Kota Cirebon</t>
  </si>
  <si>
    <t xml:space="preserve">  Kota Bekasi</t>
  </si>
  <si>
    <t xml:space="preserve">  Kota Depok</t>
  </si>
  <si>
    <t xml:space="preserve">  Kota Cimahi</t>
  </si>
  <si>
    <t xml:space="preserve">  Kota Tasikmalaya</t>
  </si>
  <si>
    <t xml:space="preserve">  Kota Banjar</t>
  </si>
  <si>
    <t xml:space="preserve">  Cilacap</t>
  </si>
  <si>
    <t xml:space="preserve">  Banyumas</t>
  </si>
  <si>
    <t xml:space="preserve">  Purbalingga</t>
  </si>
  <si>
    <t xml:space="preserve">  Banjarnegara</t>
  </si>
  <si>
    <t xml:space="preserve">  Kebumen</t>
  </si>
  <si>
    <t xml:space="preserve">  Purworejo</t>
  </si>
  <si>
    <t xml:space="preserve">  Wonosobo</t>
  </si>
  <si>
    <t xml:space="preserve">  Magelang</t>
  </si>
  <si>
    <t xml:space="preserve">  Boyolali</t>
  </si>
  <si>
    <t xml:space="preserve">  Klaten</t>
  </si>
  <si>
    <t xml:space="preserve">  Sukoharjo</t>
  </si>
  <si>
    <t xml:space="preserve">  Wonogiri</t>
  </si>
  <si>
    <t xml:space="preserve">  Karanganyar</t>
  </si>
  <si>
    <t xml:space="preserve">  Sragen</t>
  </si>
  <si>
    <t xml:space="preserve">  Grobogan</t>
  </si>
  <si>
    <t xml:space="preserve">  Blora</t>
  </si>
  <si>
    <t xml:space="preserve">  Rembang</t>
  </si>
  <si>
    <t xml:space="preserve">  Pati</t>
  </si>
  <si>
    <t xml:space="preserve">  Kudus</t>
  </si>
  <si>
    <t xml:space="preserve">  Jepara</t>
  </si>
  <si>
    <t xml:space="preserve">  Demak</t>
  </si>
  <si>
    <t xml:space="preserve">  Semarang</t>
  </si>
  <si>
    <t xml:space="preserve">  Temanggung</t>
  </si>
  <si>
    <t xml:space="preserve">  Kendal</t>
  </si>
  <si>
    <t xml:space="preserve">  Batang</t>
  </si>
  <si>
    <t xml:space="preserve">  Pekalongan</t>
  </si>
  <si>
    <t xml:space="preserve">  Pemalang</t>
  </si>
  <si>
    <t xml:space="preserve">  Tegal</t>
  </si>
  <si>
    <t xml:space="preserve">  Brebes</t>
  </si>
  <si>
    <t xml:space="preserve">  Kota Magelang</t>
  </si>
  <si>
    <t xml:space="preserve">  Kota Surakarta</t>
  </si>
  <si>
    <t xml:space="preserve">  Kota Salatiga</t>
  </si>
  <si>
    <t xml:space="preserve">  Kota Semarang</t>
  </si>
  <si>
    <t xml:space="preserve">  Kota Pekalongan</t>
  </si>
  <si>
    <t xml:space="preserve">  Kota Tegal</t>
  </si>
  <si>
    <t xml:space="preserve">  Kulon Progo</t>
  </si>
  <si>
    <t xml:space="preserve">  Bantul</t>
  </si>
  <si>
    <t xml:space="preserve">  Gunung Kidul</t>
  </si>
  <si>
    <t xml:space="preserve">  Sleman</t>
  </si>
  <si>
    <t xml:space="preserve">  Kota Yogyakarta</t>
  </si>
  <si>
    <t xml:space="preserve">  Pacitan</t>
  </si>
  <si>
    <t xml:space="preserve">  Ponorogo</t>
  </si>
  <si>
    <t xml:space="preserve">  Trenggalek</t>
  </si>
  <si>
    <t xml:space="preserve">  Tulungagung</t>
  </si>
  <si>
    <t xml:space="preserve">  Blitar</t>
  </si>
  <si>
    <t xml:space="preserve">  Kediri</t>
  </si>
  <si>
    <t xml:space="preserve">  Malang</t>
  </si>
  <si>
    <t xml:space="preserve">  Lumajang</t>
  </si>
  <si>
    <t xml:space="preserve">  Jember</t>
  </si>
  <si>
    <t xml:space="preserve">  Banyuwangi</t>
  </si>
  <si>
    <t xml:space="preserve">  Bondowoso</t>
  </si>
  <si>
    <t xml:space="preserve">  Situbondo</t>
  </si>
  <si>
    <t xml:space="preserve">  Probolinggo</t>
  </si>
  <si>
    <t xml:space="preserve">  Pasuruan</t>
  </si>
  <si>
    <t xml:space="preserve">  Sidoarjo</t>
  </si>
  <si>
    <t xml:space="preserve">  Mojokerto</t>
  </si>
  <si>
    <t xml:space="preserve">  Jombang</t>
  </si>
  <si>
    <t xml:space="preserve">  Nganjuk</t>
  </si>
  <si>
    <t xml:space="preserve">  Madiun</t>
  </si>
  <si>
    <t xml:space="preserve">  Magetan</t>
  </si>
  <si>
    <t xml:space="preserve">  Ngawi</t>
  </si>
  <si>
    <t xml:space="preserve">  Bojonegoro</t>
  </si>
  <si>
    <t xml:space="preserve">  Tuban</t>
  </si>
  <si>
    <t xml:space="preserve">  Lamongan</t>
  </si>
  <si>
    <t xml:space="preserve">  Gresik</t>
  </si>
  <si>
    <t xml:space="preserve">  Bangkalan</t>
  </si>
  <si>
    <t xml:space="preserve">  Sampang</t>
  </si>
  <si>
    <t xml:space="preserve">  Pamekasan</t>
  </si>
  <si>
    <t xml:space="preserve">  Sumenep</t>
  </si>
  <si>
    <t xml:space="preserve">  Kota Kediri</t>
  </si>
  <si>
    <t xml:space="preserve">  Kota Blitar</t>
  </si>
  <si>
    <t xml:space="preserve">  Kota Malang</t>
  </si>
  <si>
    <t xml:space="preserve">  Kota Probolinggo</t>
  </si>
  <si>
    <t xml:space="preserve">  Kota Pasuruan</t>
  </si>
  <si>
    <t xml:space="preserve">  Kota Mojokerto</t>
  </si>
  <si>
    <t xml:space="preserve">  Kota Madiun</t>
  </si>
  <si>
    <t xml:space="preserve">  Kota Surabaya</t>
  </si>
  <si>
    <t xml:space="preserve">  Kota Batu</t>
  </si>
  <si>
    <t xml:space="preserve">  Pandeglang</t>
  </si>
  <si>
    <t xml:space="preserve">  Lebak</t>
  </si>
  <si>
    <t xml:space="preserve">  Tangerang</t>
  </si>
  <si>
    <t xml:space="preserve">  Serang</t>
  </si>
  <si>
    <t xml:space="preserve">  Kota Tangerang</t>
  </si>
  <si>
    <t xml:space="preserve">  Kota Cilegon</t>
  </si>
  <si>
    <t xml:space="preserve">  Kota Serang</t>
  </si>
  <si>
    <t xml:space="preserve">  Kota Tangerang Selatan</t>
  </si>
  <si>
    <t xml:space="preserve">  Jembrana</t>
  </si>
  <si>
    <t xml:space="preserve">  Tabanan</t>
  </si>
  <si>
    <t xml:space="preserve">  Badung</t>
  </si>
  <si>
    <t xml:space="preserve">  Gianyar</t>
  </si>
  <si>
    <t xml:space="preserve">  Klungkung</t>
  </si>
  <si>
    <t xml:space="preserve">  Bangli</t>
  </si>
  <si>
    <t xml:space="preserve">  Karang Asem</t>
  </si>
  <si>
    <t xml:space="preserve">  Buleleng</t>
  </si>
  <si>
    <t xml:space="preserve">  Kota Denpasar</t>
  </si>
  <si>
    <t xml:space="preserve">  Lombok Barat</t>
  </si>
  <si>
    <t xml:space="preserve">  Lombok Tengah</t>
  </si>
  <si>
    <t xml:space="preserve">  Lombok Timur</t>
  </si>
  <si>
    <t xml:space="preserve">  Sumbawa</t>
  </si>
  <si>
    <t xml:space="preserve">  Dompu</t>
  </si>
  <si>
    <t xml:space="preserve">  Bima</t>
  </si>
  <si>
    <t xml:space="preserve">  Sumbawa Barat</t>
  </si>
  <si>
    <t xml:space="preserve">  Lombok Utara</t>
  </si>
  <si>
    <t xml:space="preserve">  Kota Mataram</t>
  </si>
  <si>
    <t xml:space="preserve">  Kota Bima</t>
  </si>
  <si>
    <t xml:space="preserve">  Sumba Barat</t>
  </si>
  <si>
    <t xml:space="preserve">  Sumba Timur</t>
  </si>
  <si>
    <t xml:space="preserve">  Kupang</t>
  </si>
  <si>
    <t xml:space="preserve">  Timor Tengah Selatan</t>
  </si>
  <si>
    <t xml:space="preserve">  Timor Tengah Utara</t>
  </si>
  <si>
    <t xml:space="preserve">  Belu</t>
  </si>
  <si>
    <t xml:space="preserve">  Alor</t>
  </si>
  <si>
    <t xml:space="preserve">  Lembata</t>
  </si>
  <si>
    <t xml:space="preserve">  Flores Timur</t>
  </si>
  <si>
    <t xml:space="preserve">  Sikka</t>
  </si>
  <si>
    <t xml:space="preserve">  Ende</t>
  </si>
  <si>
    <t xml:space="preserve">  Ngada</t>
  </si>
  <si>
    <t xml:space="preserve">  Manggarai</t>
  </si>
  <si>
    <t xml:space="preserve">  Rote Ndao</t>
  </si>
  <si>
    <t xml:space="preserve">  Manggarai Barat</t>
  </si>
  <si>
    <t xml:space="preserve">  Sumba Tengah</t>
  </si>
  <si>
    <t xml:space="preserve">  Sumba Barat Daya</t>
  </si>
  <si>
    <t xml:space="preserve">  Nagekeo</t>
  </si>
  <si>
    <t xml:space="preserve">  Manggarai Timur</t>
  </si>
  <si>
    <t xml:space="preserve">  Sabu Raijua</t>
  </si>
  <si>
    <t xml:space="preserve">  Malaka</t>
  </si>
  <si>
    <t xml:space="preserve">  Kota Kupang</t>
  </si>
  <si>
    <t xml:space="preserve">  Sambas</t>
  </si>
  <si>
    <t xml:space="preserve">  Bengkayang</t>
  </si>
  <si>
    <t xml:space="preserve">  Landak</t>
  </si>
  <si>
    <t xml:space="preserve">  Pontianak</t>
  </si>
  <si>
    <t xml:space="preserve">  Sanggau</t>
  </si>
  <si>
    <t xml:space="preserve">  Ketapang</t>
  </si>
  <si>
    <t xml:space="preserve">  Sintang</t>
  </si>
  <si>
    <t xml:space="preserve">  Kapuas Hulu</t>
  </si>
  <si>
    <t xml:space="preserve">  Sekadau</t>
  </si>
  <si>
    <t xml:space="preserve">  Melawi</t>
  </si>
  <si>
    <t xml:space="preserve">  Kayong Utara</t>
  </si>
  <si>
    <t xml:space="preserve">  Kubu Raya</t>
  </si>
  <si>
    <t xml:space="preserve">  Kota Pontianak</t>
  </si>
  <si>
    <t xml:space="preserve">  Kota Singkawang</t>
  </si>
  <si>
    <t xml:space="preserve">  Kotawaringin Barat</t>
  </si>
  <si>
    <t xml:space="preserve">  Kotawaringin Timur</t>
  </si>
  <si>
    <t xml:space="preserve">  Kapuas</t>
  </si>
  <si>
    <t xml:space="preserve">  Barito Selatan</t>
  </si>
  <si>
    <t xml:space="preserve">  Barito Utara</t>
  </si>
  <si>
    <t xml:space="preserve">  Sukamara</t>
  </si>
  <si>
    <t xml:space="preserve">  Lamandau</t>
  </si>
  <si>
    <t xml:space="preserve">  Seruyan</t>
  </si>
  <si>
    <t xml:space="preserve">  Katingan</t>
  </si>
  <si>
    <t xml:space="preserve">  Pulang Pisau</t>
  </si>
  <si>
    <t xml:space="preserve">  Gunung Mas</t>
  </si>
  <si>
    <t xml:space="preserve">  Barito Timur</t>
  </si>
  <si>
    <t xml:space="preserve">  Murung Raya</t>
  </si>
  <si>
    <t xml:space="preserve">  Kota Palangka Raya</t>
  </si>
  <si>
    <t xml:space="preserve">  Tanah Laut</t>
  </si>
  <si>
    <t xml:space="preserve">  Kota Baru</t>
  </si>
  <si>
    <t xml:space="preserve">  Banjar</t>
  </si>
  <si>
    <t xml:space="preserve">  Barito Kuala</t>
  </si>
  <si>
    <t xml:space="preserve">  Tapin</t>
  </si>
  <si>
    <t xml:space="preserve">  Hulu Sungai Selatan</t>
  </si>
  <si>
    <t xml:space="preserve">  Hulu Sungai Tengah</t>
  </si>
  <si>
    <t xml:space="preserve">  Hulu Sungai Utara</t>
  </si>
  <si>
    <t xml:space="preserve">  Tabalong</t>
  </si>
  <si>
    <t xml:space="preserve">  Tanah Bumbu</t>
  </si>
  <si>
    <t xml:space="preserve">  Balangan</t>
  </si>
  <si>
    <t xml:space="preserve">  Kota Banjarmasin</t>
  </si>
  <si>
    <t xml:space="preserve">  Kota Banjar Baru</t>
  </si>
  <si>
    <t xml:space="preserve">  Paser</t>
  </si>
  <si>
    <t xml:space="preserve">  Kutai Barat</t>
  </si>
  <si>
    <t xml:space="preserve">  Kutai Kartanegara</t>
  </si>
  <si>
    <t xml:space="preserve">  Kutai Timur</t>
  </si>
  <si>
    <t xml:space="preserve">  Berau</t>
  </si>
  <si>
    <t xml:space="preserve">  Penajam Paser Utara</t>
  </si>
  <si>
    <t xml:space="preserve">  Mahakam Hulu</t>
  </si>
  <si>
    <t xml:space="preserve">  Kota Balikpapan</t>
  </si>
  <si>
    <t xml:space="preserve">  Kota Samarinda</t>
  </si>
  <si>
    <t xml:space="preserve">  Kota Bontang</t>
  </si>
  <si>
    <t xml:space="preserve">  Malinau</t>
  </si>
  <si>
    <t xml:space="preserve">  Bulungan</t>
  </si>
  <si>
    <t xml:space="preserve">  Tana Tidung</t>
  </si>
  <si>
    <t xml:space="preserve">  Nunukan</t>
  </si>
  <si>
    <t xml:space="preserve">  Kota Tarakan</t>
  </si>
  <si>
    <t xml:space="preserve">  Bolaang Mongondow</t>
  </si>
  <si>
    <t xml:space="preserve">  Minahasa</t>
  </si>
  <si>
    <t xml:space="preserve">  Kepulauan Sangihe</t>
  </si>
  <si>
    <t xml:space="preserve">  Kepulauan Talaud</t>
  </si>
  <si>
    <t xml:space="preserve">  Minahasa Selatan</t>
  </si>
  <si>
    <t xml:space="preserve">  Minahasa Utara</t>
  </si>
  <si>
    <t xml:space="preserve">  Bolaang Mongondow Utara</t>
  </si>
  <si>
    <t xml:space="preserve">  Siau Tagulandang Biaro</t>
  </si>
  <si>
    <t xml:space="preserve">  Minahasa Tenggara</t>
  </si>
  <si>
    <t xml:space="preserve">  Bolaang Mongondow Selatan</t>
  </si>
  <si>
    <t xml:space="preserve">  Bolaang Mongondow Timur</t>
  </si>
  <si>
    <t xml:space="preserve">  Kota Manado</t>
  </si>
  <si>
    <t xml:space="preserve">  Kota Bitung</t>
  </si>
  <si>
    <t xml:space="preserve">  Kota Tomohon</t>
  </si>
  <si>
    <t xml:space="preserve">  Kota Kotamobagu</t>
  </si>
  <si>
    <t xml:space="preserve">  Banggai Kepulauan</t>
  </si>
  <si>
    <t xml:space="preserve">  Banggai</t>
  </si>
  <si>
    <t xml:space="preserve">  Morowali</t>
  </si>
  <si>
    <t xml:space="preserve">  Poso</t>
  </si>
  <si>
    <t xml:space="preserve">  Donggala</t>
  </si>
  <si>
    <t xml:space="preserve">  Toli-Toli</t>
  </si>
  <si>
    <t xml:space="preserve">  Buol</t>
  </si>
  <si>
    <t xml:space="preserve">  Parigi Moutong</t>
  </si>
  <si>
    <t xml:space="preserve">  Tojo Una-Una</t>
  </si>
  <si>
    <t xml:space="preserve">  Sigi</t>
  </si>
  <si>
    <t xml:space="preserve">  Banggai Laut</t>
  </si>
  <si>
    <t xml:space="preserve">  Morowali Utara</t>
  </si>
  <si>
    <t xml:space="preserve">  Kota Palu</t>
  </si>
  <si>
    <t xml:space="preserve">  Kepulauan Selayar</t>
  </si>
  <si>
    <t xml:space="preserve">  Bulukumba</t>
  </si>
  <si>
    <t xml:space="preserve">  Bantaeng</t>
  </si>
  <si>
    <t xml:space="preserve">  Jeneponto</t>
  </si>
  <si>
    <t xml:space="preserve">  Takalar</t>
  </si>
  <si>
    <t xml:space="preserve">  Gowa</t>
  </si>
  <si>
    <t xml:space="preserve">  Sinjai</t>
  </si>
  <si>
    <t xml:space="preserve">  Maros</t>
  </si>
  <si>
    <t xml:space="preserve">  Pangkajene Dan Kepulauan</t>
  </si>
  <si>
    <t xml:space="preserve">  Barru</t>
  </si>
  <si>
    <t xml:space="preserve">  Bone</t>
  </si>
  <si>
    <t xml:space="preserve">  Soppeng</t>
  </si>
  <si>
    <t xml:space="preserve">  Wajo</t>
  </si>
  <si>
    <t xml:space="preserve">  Sidenreng Rappang</t>
  </si>
  <si>
    <t xml:space="preserve">  Pinrang</t>
  </si>
  <si>
    <t xml:space="preserve">  Enrekang</t>
  </si>
  <si>
    <t xml:space="preserve">  Luwu</t>
  </si>
  <si>
    <t xml:space="preserve">  Tana Toraja</t>
  </si>
  <si>
    <t xml:space="preserve">  Luwu Utara</t>
  </si>
  <si>
    <t xml:space="preserve">  Luwu Timur</t>
  </si>
  <si>
    <t xml:space="preserve">  Toraja Utara</t>
  </si>
  <si>
    <t xml:space="preserve">  Kota Makassar</t>
  </si>
  <si>
    <t xml:space="preserve">  Kota Parepare</t>
  </si>
  <si>
    <t xml:space="preserve">  Kota Palopo</t>
  </si>
  <si>
    <t xml:space="preserve">  Buton</t>
  </si>
  <si>
    <t xml:space="preserve">  Muna</t>
  </si>
  <si>
    <t xml:space="preserve">  Konawe</t>
  </si>
  <si>
    <t xml:space="preserve">  Kolaka</t>
  </si>
  <si>
    <t xml:space="preserve">  Konawe Selatan</t>
  </si>
  <si>
    <t xml:space="preserve">  Bombana</t>
  </si>
  <si>
    <t xml:space="preserve">  Wakatobi</t>
  </si>
  <si>
    <t xml:space="preserve">  Kolaka Utara</t>
  </si>
  <si>
    <t xml:space="preserve">  Buton Utara</t>
  </si>
  <si>
    <t xml:space="preserve">  Konawe Utara</t>
  </si>
  <si>
    <t xml:space="preserve">  Kolaka Timur</t>
  </si>
  <si>
    <t xml:space="preserve">  Konawe Kepulauan</t>
  </si>
  <si>
    <t xml:space="preserve">  Muna Barat</t>
  </si>
  <si>
    <t xml:space="preserve">  Buton Tengah</t>
  </si>
  <si>
    <t xml:space="preserve">  Buton Selatan</t>
  </si>
  <si>
    <t xml:space="preserve">  Kota Kendari</t>
  </si>
  <si>
    <t xml:space="preserve">  Kota Baubau</t>
  </si>
  <si>
    <t xml:space="preserve">  Boalemo</t>
  </si>
  <si>
    <t xml:space="preserve">  Gorontalo</t>
  </si>
  <si>
    <t xml:space="preserve">  Pohuwato</t>
  </si>
  <si>
    <t xml:space="preserve">  Bone Bolango</t>
  </si>
  <si>
    <t xml:space="preserve">  Gorontalo Utara</t>
  </si>
  <si>
    <t xml:space="preserve">  Kota Gorontalo</t>
  </si>
  <si>
    <t xml:space="preserve">  Majene</t>
  </si>
  <si>
    <t xml:space="preserve">  Polewali Mandar</t>
  </si>
  <si>
    <t xml:space="preserve">  Mamasa</t>
  </si>
  <si>
    <t xml:space="preserve">  Mamuju</t>
  </si>
  <si>
    <t xml:space="preserve">  Mamuju Utara</t>
  </si>
  <si>
    <t xml:space="preserve">  Mamuju Tengah</t>
  </si>
  <si>
    <t xml:space="preserve">  Maluku Tenggara Barat</t>
  </si>
  <si>
    <t xml:space="preserve">  Maluku Tenggara</t>
  </si>
  <si>
    <t xml:space="preserve">  Maluku Tengah</t>
  </si>
  <si>
    <t xml:space="preserve">  Buru</t>
  </si>
  <si>
    <t xml:space="preserve">  Kepulauan Aru</t>
  </si>
  <si>
    <t xml:space="preserve">  Seram Bagian Barat</t>
  </si>
  <si>
    <t xml:space="preserve">  Seram Bagian Timur</t>
  </si>
  <si>
    <t xml:space="preserve">  Maluku Barat Daya</t>
  </si>
  <si>
    <t xml:space="preserve">  Buru Selatan</t>
  </si>
  <si>
    <t xml:space="preserve">  Kota Ambon</t>
  </si>
  <si>
    <t xml:space="preserve">  Kota Tual</t>
  </si>
  <si>
    <t xml:space="preserve">  Halmahera Barat</t>
  </si>
  <si>
    <t xml:space="preserve">  Halmahera Tengah</t>
  </si>
  <si>
    <t xml:space="preserve">  Kepulauan Sula</t>
  </si>
  <si>
    <t xml:space="preserve">  Halmahera Selatan</t>
  </si>
  <si>
    <t xml:space="preserve">  Halmahera Utara</t>
  </si>
  <si>
    <t xml:space="preserve">  Halmahera Timur</t>
  </si>
  <si>
    <t xml:space="preserve">  Pulau Morotai</t>
  </si>
  <si>
    <t xml:space="preserve">  Pulau Taliabu</t>
  </si>
  <si>
    <t xml:space="preserve">  Kota Ternate</t>
  </si>
  <si>
    <t xml:space="preserve">  Kota Tidore Kepulauan</t>
  </si>
  <si>
    <t xml:space="preserve">  Fakfak</t>
  </si>
  <si>
    <t xml:space="preserve">  Kaimana</t>
  </si>
  <si>
    <t xml:space="preserve">  Teluk Wondama</t>
  </si>
  <si>
    <t xml:space="preserve">  Teluk Bintuni</t>
  </si>
  <si>
    <t xml:space="preserve">  Manokwari</t>
  </si>
  <si>
    <t xml:space="preserve">  Sorong Selatan</t>
  </si>
  <si>
    <t xml:space="preserve">  Sorong</t>
  </si>
  <si>
    <t xml:space="preserve">  Raja Ampat</t>
  </si>
  <si>
    <t xml:space="preserve">  Tambrauw</t>
  </si>
  <si>
    <t xml:space="preserve">  Maybrat</t>
  </si>
  <si>
    <t xml:space="preserve">  Manokwari Selatan</t>
  </si>
  <si>
    <t xml:space="preserve">  Pegunungan Arfak</t>
  </si>
  <si>
    <t xml:space="preserve">  Kota Sorong</t>
  </si>
  <si>
    <t xml:space="preserve">  Merauke</t>
  </si>
  <si>
    <t xml:space="preserve">  Jayawijaya</t>
  </si>
  <si>
    <t xml:space="preserve">  Jayapura</t>
  </si>
  <si>
    <t xml:space="preserve">  Nabire</t>
  </si>
  <si>
    <t xml:space="preserve">  Kepulauan Yapen</t>
  </si>
  <si>
    <t xml:space="preserve">  Biak Numfor</t>
  </si>
  <si>
    <t xml:space="preserve">  Paniai</t>
  </si>
  <si>
    <t xml:space="preserve">  Puncak Jaya</t>
  </si>
  <si>
    <t xml:space="preserve">  Mimika</t>
  </si>
  <si>
    <t xml:space="preserve">  Boven Digoel</t>
  </si>
  <si>
    <t xml:space="preserve">  Mappi</t>
  </si>
  <si>
    <t xml:space="preserve">  Asmat</t>
  </si>
  <si>
    <t xml:space="preserve">  Yahukimo</t>
  </si>
  <si>
    <t xml:space="preserve">  Pegunungan Bintang</t>
  </si>
  <si>
    <t xml:space="preserve">  Tolikara</t>
  </si>
  <si>
    <t xml:space="preserve">  Sarmi</t>
  </si>
  <si>
    <t xml:space="preserve">  Keerom</t>
  </si>
  <si>
    <t xml:space="preserve">  Waropen</t>
  </si>
  <si>
    <t xml:space="preserve">  Supiori</t>
  </si>
  <si>
    <t xml:space="preserve">  Mamberamo Raya</t>
  </si>
  <si>
    <t xml:space="preserve">  Nduga</t>
  </si>
  <si>
    <t xml:space="preserve">  Lanny Jaya</t>
  </si>
  <si>
    <t xml:space="preserve">  Mamberamo Tengah</t>
  </si>
  <si>
    <t xml:space="preserve">  Yalimo</t>
  </si>
  <si>
    <t xml:space="preserve">  Puncak</t>
  </si>
  <si>
    <t xml:space="preserve">  Dogiyai</t>
  </si>
  <si>
    <t xml:space="preserve">  Intan Jaya</t>
  </si>
  <si>
    <t xml:space="preserve">  Deiyai</t>
  </si>
  <si>
    <t xml:space="preserve">  Kota Jayapura</t>
  </si>
  <si>
    <t xml:space="preserve">  Total</t>
  </si>
  <si>
    <t>Regency municipality_EN</t>
  </si>
  <si>
    <t>Lower (40%)</t>
  </si>
  <si>
    <t>Lowest (20%)</t>
  </si>
  <si>
    <t>Middle (60%)</t>
  </si>
  <si>
    <t>Higher (80%)</t>
  </si>
  <si>
    <t>Highest (100%)</t>
  </si>
  <si>
    <t>Deprived</t>
  </si>
  <si>
    <t>Low</t>
  </si>
  <si>
    <t>High</t>
  </si>
  <si>
    <t>- Increase on the long run</t>
  </si>
  <si>
    <t>GID_2</t>
  </si>
  <si>
    <t>IDN.4.3_1</t>
  </si>
  <si>
    <t>IDN.4.7_1</t>
  </si>
  <si>
    <t>IDN.4.8_1</t>
  </si>
  <si>
    <t>IDN.7.3_1</t>
  </si>
  <si>
    <t>IDN.9.4_1</t>
  </si>
  <si>
    <t>IDN.9.5_1</t>
  </si>
  <si>
    <t>IDN.9.10_1</t>
  </si>
  <si>
    <t>IDN.9.15_1</t>
  </si>
  <si>
    <t>IDN.9.16_1</t>
  </si>
  <si>
    <t>IDN.7.2_1</t>
  </si>
  <si>
    <t>IDN.7.5_1</t>
  </si>
  <si>
    <t>IDN.7.1_1</t>
  </si>
  <si>
    <t>IDN.7.4_1</t>
  </si>
  <si>
    <t>inc_20QTL</t>
  </si>
  <si>
    <t>inc_40QTL</t>
  </si>
  <si>
    <t>inc_60QTL</t>
  </si>
  <si>
    <t>inc_80QTL</t>
  </si>
  <si>
    <t>inc_100QTL</t>
  </si>
  <si>
    <t>inc_total</t>
  </si>
  <si>
    <t>2020-2050 
extrapolation</t>
  </si>
  <si>
    <t>Indicator</t>
  </si>
  <si>
    <t>standard scenario</t>
  </si>
  <si>
    <t>ref</t>
  </si>
  <si>
    <t>- No expression in expansion
- Income levels concentric around these features
- High income clusters around these features</t>
  </si>
  <si>
    <t>z</t>
  </si>
  <si>
    <t>ADM2_EN</t>
  </si>
  <si>
    <t>ADM2_BA</t>
  </si>
  <si>
    <t>ADM2CODE</t>
  </si>
  <si>
    <t>HDI2024</t>
  </si>
  <si>
    <t>HDI2020</t>
  </si>
  <si>
    <t>HDI2015</t>
  </si>
  <si>
    <t>LEB2024</t>
  </si>
  <si>
    <t>EYE2024</t>
  </si>
  <si>
    <t>AEP2024</t>
  </si>
  <si>
    <t>LEB2020</t>
  </si>
  <si>
    <t>EYE2020</t>
  </si>
  <si>
    <t>AEP2020</t>
  </si>
  <si>
    <t>LEB2015</t>
  </si>
  <si>
    <t>EYE2015</t>
  </si>
  <si>
    <t>AEP2015</t>
  </si>
  <si>
    <t>Notes</t>
  </si>
  <si>
    <t>Kota Jakarta Selatan</t>
  </si>
  <si>
    <t>ID3171</t>
  </si>
  <si>
    <t>Kota Jakarta Timur</t>
  </si>
  <si>
    <t>ID3172</t>
  </si>
  <si>
    <t>Kota Jakarta Pusat</t>
  </si>
  <si>
    <t>ID3173</t>
  </si>
  <si>
    <t>Kota Jakarta Barat</t>
  </si>
  <si>
    <t>ID3174</t>
  </si>
  <si>
    <t>Kota Jakarta Utara</t>
  </si>
  <si>
    <t>ID3175</t>
  </si>
  <si>
    <t>Kota Bogor</t>
  </si>
  <si>
    <t>ID3271</t>
  </si>
  <si>
    <t>Bogor</t>
  </si>
  <si>
    <t>ID3201</t>
  </si>
  <si>
    <t>Kota Bekasi</t>
  </si>
  <si>
    <t>ID3275</t>
  </si>
  <si>
    <t>Bekasi</t>
  </si>
  <si>
    <t>ID3216</t>
  </si>
  <si>
    <t>Kota Depok</t>
  </si>
  <si>
    <t>ID3276</t>
  </si>
  <si>
    <t>Kota Tangerang</t>
  </si>
  <si>
    <t>ID3671</t>
  </si>
  <si>
    <t>Kota Tangerang Selatan</t>
  </si>
  <si>
    <t>ID3674</t>
  </si>
  <si>
    <t>Tangerang</t>
  </si>
  <si>
    <t>ID3603</t>
  </si>
  <si>
    <t>Population changec rate</t>
  </si>
  <si>
    <t>GHSL</t>
  </si>
  <si>
    <t>AW:AX</t>
  </si>
  <si>
    <t>1990-2015</t>
  </si>
  <si>
    <t>AZ:BC</t>
  </si>
  <si>
    <t>BD:BE</t>
  </si>
  <si>
    <t>AW:BE</t>
  </si>
  <si>
    <t>LEB2015 estimate from 2020-2024 change; EYE2015 estimate from 2020-2024 component change; AEP2015 estimates from 2020-2024 HDI change</t>
  </si>
  <si>
    <t>LEB2020 estimates from 2020-2024 and 2020-2015 HDI changes;EYE2020 estimates from 2020-2024 and 2020-2015 HDI changes;AEP2020 estimates from 2020-2024 and 2020-2015 HDI changes;LEB2015 estimates from 2020-2024 and 2020-2015 HDI changes;EYE2015 estimates from 2020-2024 and 2020-2015 HDI changes;AEP2015 estimates from 2020-2024 and 2020-2015 HDI changes</t>
  </si>
  <si>
    <t>2024 Component values estimated based on Tangerang City components STC HDI;LEB2020 estimates from 2020-2024 and 2020-2015 HDI changes;EYE2020 estimates from 2020-2024 and 2020-2015 HDI changes;AEP2020 estimates from 2020-2024 and 2020-2015 HDI changes;LEB2015 estimates from 2020-2024 and 2020-2015 HDI changes;EYE2015 estimates from 2020-2024 and 2020-2015 HDI changes;AEP2015 estimates from 2020-2024 and 2020-2015 HDI changes</t>
  </si>
  <si>
    <t>change relative to 2024</t>
  </si>
  <si>
    <t>Year</t>
  </si>
  <si>
    <t>Total Urban Area</t>
  </si>
  <si>
    <t>Urban Area Exposed to Flooding</t>
  </si>
  <si>
    <t>Total New Urban Area</t>
  </si>
  <si>
    <t>New Urban Area Exposed to Flooding</t>
  </si>
  <si>
    <t>Urban Area (deprived)</t>
  </si>
  <si>
    <t>Urban Area Exposed (deprived)</t>
  </si>
  <si>
    <t>Urban Area (low)</t>
  </si>
  <si>
    <t>Urban Area Exposed (low)</t>
  </si>
  <si>
    <t>Urban Area (mid)</t>
  </si>
  <si>
    <t>Urban Area Exposed (mid)</t>
  </si>
  <si>
    <t>Urban Area (high)</t>
  </si>
  <si>
    <t>Urban Area Exposed (high)</t>
  </si>
  <si>
    <t>Urban Area (urban_first_year)</t>
  </si>
  <si>
    <t>Urban Area Exposed (urban_first_year)</t>
  </si>
  <si>
    <t>S1</t>
  </si>
  <si>
    <t>S2</t>
  </si>
  <si>
    <t>S3</t>
  </si>
  <si>
    <t>S4</t>
  </si>
  <si>
    <t>Total urban area</t>
  </si>
  <si>
    <t>Exposed area with Deprived SEP %</t>
  </si>
  <si>
    <t>Exposed area with High SEP %</t>
  </si>
  <si>
    <t>Exposed area %</t>
  </si>
  <si>
    <t>S0 - Calibration</t>
  </si>
  <si>
    <t>S1 - Business as Usual</t>
  </si>
  <si>
    <t>S2 - Sustainable Development</t>
  </si>
  <si>
    <t>S3 - Increased Fragmentation</t>
  </si>
  <si>
    <t>Total pop./cell</t>
  </si>
  <si>
    <t>2050 STD</t>
  </si>
  <si>
    <t>2050 SSP1</t>
  </si>
  <si>
    <t>2050 SSP2</t>
  </si>
  <si>
    <t>2050 SSP3</t>
  </si>
  <si>
    <t>New households</t>
  </si>
  <si>
    <t>2000-2025</t>
  </si>
  <si>
    <t>2025 STD</t>
  </si>
  <si>
    <t>2025 SSP1</t>
  </si>
  <si>
    <t>2025 SSP2</t>
  </si>
  <si>
    <t>2025 SSP3</t>
  </si>
  <si>
    <t>2050 S1 Business as Usual</t>
  </si>
  <si>
    <t>2050 S2 Sustainable Development</t>
  </si>
  <si>
    <t>2050 S3 Increased fragmentation</t>
  </si>
  <si>
    <t>exposed</t>
  </si>
  <si>
    <t>maxof</t>
  </si>
  <si>
    <t>rad</t>
  </si>
  <si>
    <t>nom-slope</t>
  </si>
  <si>
    <t>2050 STD compound rate</t>
  </si>
  <si>
    <t>2050 SSP1 compound rate</t>
  </si>
  <si>
    <t>2050 SSP2 compound rate</t>
  </si>
  <si>
    <t>2050 SSP3 compound rate</t>
  </si>
  <si>
    <t>new cells</t>
  </si>
  <si>
    <t>new DP cells</t>
  </si>
  <si>
    <t>new LI cells</t>
  </si>
  <si>
    <t>new MI cells</t>
  </si>
  <si>
    <t>new HI cells</t>
  </si>
  <si>
    <t>Yearly compound growth rate</t>
  </si>
  <si>
    <t>IIASA mid</t>
  </si>
  <si>
    <t>IIASA top</t>
  </si>
  <si>
    <t>IIASA bottom</t>
  </si>
  <si>
    <t>using the IIASA-WiC POP 2025 population estimates, source: https://ssp.apps.ece.iiasa.ac.at/basic-elements?type=line-chart&amp;variables=37&amp;runs=1,2,3,4,5,6&amp;regions=103&amp;dataHash=5c2322d746e07&amp;open=true</t>
  </si>
  <si>
    <t>model</t>
  </si>
  <si>
    <t>scenario</t>
  </si>
  <si>
    <t>region</t>
  </si>
  <si>
    <t>variable</t>
  </si>
  <si>
    <t>unit</t>
  </si>
  <si>
    <t>version</t>
  </si>
  <si>
    <t>IIASA-WiC POP 2025</t>
  </si>
  <si>
    <t>Historical Reference</t>
  </si>
  <si>
    <t>Indonesia</t>
  </si>
  <si>
    <t>million</t>
  </si>
  <si>
    <t>SSP4</t>
  </si>
  <si>
    <t>SSP5</t>
  </si>
  <si>
    <t>2025-2050 CAGR</t>
  </si>
  <si>
    <t>DKI</t>
  </si>
  <si>
    <t>Inner suburbs (Bogor City, Bekasi City, Depok City, Tangerang City and South Tangerang City)</t>
  </si>
  <si>
    <t>Outer suburbs (Bogor Regency, Bekasi Regency, Tangerang Regency)</t>
  </si>
  <si>
    <t>2000-2025 CAGR</t>
  </si>
  <si>
    <t>Model density (inhab/ha)</t>
  </si>
  <si>
    <t>Historical</t>
  </si>
  <si>
    <t>Projections</t>
  </si>
  <si>
    <t>DKI Jakarta</t>
  </si>
  <si>
    <t>West Java</t>
  </si>
  <si>
    <t>Banten</t>
  </si>
  <si>
    <t>2025-2050 CARG</t>
  </si>
  <si>
    <t>Province</t>
  </si>
  <si>
    <t>City/Regency</t>
  </si>
  <si>
    <t>Kabupaten/Kota</t>
  </si>
  <si>
    <t>2010-2025</t>
  </si>
  <si>
    <t>DKI Jakarta Source https://jakarta.bps.go.id/en/statistics-table/3/V1ZSbFRUY3lTbFpEYTNsVWNGcDZjek53YkhsNFFUMDkjMw==/penduduk--laju-pertumbuhan-penduduk--distribusi-persentase-penduduk--kepadatan-penduduk--rasio-jenis-kelamin-penduduk-menurut-kabupaten-kota-di-provinsi-dki-jakarta--2022.html?year=2025</t>
  </si>
  <si>
    <t>West Java Source: https://jabar.bps.go.id/en/statistics-table/3/V1ZSbFRUY3lTbFpEYTNsVWNGcDZjek53YkhsNFFUMDkjMw==/penduduk--laju-pertumbuhan-penduduk--distribusi-persentase-penduduk--kepadatan-penduduk--rasio-jenis-kelamin-penduduk-menurut-kabupaten-kota-di-provinsi-jawa-ba?year=2025</t>
  </si>
  <si>
    <t>Banten Source: https://banten.bps.go.id/en/statistics-table/3/V1ZSbFRUY3lTbFpEYTNsVWNGcDZjek53YkhsNFFUMDkjMw==/population--population-growth-rate--percentage-distribution-of-population--population-density--and-population-sex-ratio-by-regency-municipality-in-banten-province--2024.html?year=2025</t>
  </si>
  <si>
    <t>2010-2025 CARG</t>
  </si>
  <si>
    <t>Source: Indonesia, BPS-Statistics. Indonesia Population Projection 2020-2050 Result of Population Census 2020. n.d. Accessed 20 October 2026.  https://www.bps.go.id/en/publication/2023/05/16/fad83131cd3bb9be3bb2a657/indonesia-population-projection-2020-2050-result-of-population-census-2020.html</t>
  </si>
  <si>
    <t>Jawa Barat</t>
  </si>
  <si>
    <t>Provinsi</t>
  </si>
  <si>
    <t>Regional (GHSL figures)</t>
  </si>
  <si>
    <t>2010-2025 CAGR</t>
  </si>
  <si>
    <t>2000-2010 CAGR</t>
  </si>
  <si>
    <t>Jakarta DKI &amp; Banten &amp; Jawa Barat</t>
  </si>
  <si>
    <t>IIASA-WiC POP 2013</t>
  </si>
  <si>
    <t>SSP1 (2013)</t>
  </si>
  <si>
    <t>SSP2 (2013)</t>
  </si>
  <si>
    <t>SSP3 (2013)</t>
  </si>
  <si>
    <t>SSP4 (2013)</t>
  </si>
  <si>
    <t>SSP5 (2013)</t>
  </si>
  <si>
    <t>Source: https://ssp.apps.ece.iiasa.ac.at/basic-elements?variables=37&amp;runs=13,14,15,16,17&amp;type=line-chart&amp;regions=177,103,105,242&amp;dataHash=1336b25766dd0e&amp;open=true</t>
  </si>
  <si>
    <t>Source: https://ssp.apps.ece.iiasa.ac.at/basic-elements?type=line-chart&amp;variables=37&amp;runs=1,2,3,4,5,6&amp;regions=103&amp;dataHash=5c2322d746e07&amp;open=true</t>
  </si>
  <si>
    <t>Model input</t>
  </si>
  <si>
    <t>Test 1</t>
  </si>
  <si>
    <t>Variable</t>
  </si>
  <si>
    <t>Sources:</t>
  </si>
  <si>
    <t>pax/hh: https://jakarta.bps.go.id/en/statistics-table/2/MTEzIzI=/number-of-households-and-average-household-size-of-dki-jakarta-province-by-regency-municipality.html</t>
  </si>
  <si>
    <t>Model density simulates the same average built density from 2025 (372 inhabitants/ha)</t>
  </si>
  <si>
    <t>Percentage per SEP: Zonal statistics from Kummu et al. 2025</t>
  </si>
  <si>
    <t>IIASA-WiC POP 2017</t>
  </si>
  <si>
    <t>Observed 2025 density urban areas</t>
  </si>
  <si>
    <t>Observed 2025 density admin areas</t>
  </si>
  <si>
    <t>2000-2025 S0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</si>
</sst>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quot;%&quot;"/>
    <numFmt numFmtId="165" formatCode="0.0%"/>
    <numFmt numFmtId="166" formatCode="_-* #,##0_-;\-* #,##0_-;_-* &quot;-&quot;??_-;_-@_-"/>
    <numFmt numFmtId="167" formatCode="0.0"/>
    <numFmt numFmtId="168" formatCode="#,###"/>
    <numFmt numFmtId="169" formatCode="0.000%"/>
    <numFmt numFmtId="170" formatCode="_-* #,##0.000_-;\-* #,##0.000_-;_-* &quot;-&quot;??_-;_-@_-"/>
  </numFmts>
  <fonts count="21" x14ac:knownFonts="1">
    <font>
      <sz val="11"/>
      <color theme="1"/>
      <name val="Calibri"/>
      <family val="2"/>
      <scheme val="minor"/>
    </font>
    <font>
      <b/>
      <sz val="11"/>
      <name val="Calibri"/>
      <family val="2"/>
    </font>
    <font>
      <sz val="11"/>
      <color theme="1"/>
      <name val="Calibri"/>
      <family val="2"/>
      <scheme val="minor"/>
    </font>
    <font>
      <sz val="9"/>
      <color theme="1"/>
      <name val="Calibri"/>
      <family val="2"/>
      <scheme val="minor"/>
    </font>
    <font>
      <b/>
      <sz val="9"/>
      <color theme="1"/>
      <name val="Calibri"/>
      <family val="2"/>
      <scheme val="minor"/>
    </font>
    <font>
      <sz val="11"/>
      <color rgb="FF222222"/>
      <name val="Segoe UI"/>
      <family val="2"/>
    </font>
    <font>
      <sz val="11"/>
      <color theme="1"/>
      <name val="Arial"/>
      <family val="2"/>
    </font>
    <font>
      <b/>
      <sz val="11"/>
      <color theme="1"/>
      <name val="Calibri"/>
      <family val="2"/>
      <scheme val="minor"/>
    </font>
    <font>
      <u/>
      <sz val="11"/>
      <color theme="10"/>
      <name val="Calibri"/>
      <family val="2"/>
      <scheme val="minor"/>
    </font>
    <font>
      <sz val="10"/>
      <color theme="1"/>
      <name val="Arial Narrow"/>
      <family val="2"/>
    </font>
    <font>
      <sz val="11"/>
      <color rgb="FFFF0000"/>
      <name val="Calibri"/>
      <family val="2"/>
      <scheme val="minor"/>
    </font>
    <font>
      <sz val="11"/>
      <name val="Calibri"/>
      <family val="2"/>
    </font>
    <font>
      <sz val="11"/>
      <name val="Calibri"/>
      <family val="2"/>
    </font>
    <font>
      <b/>
      <sz val="11"/>
      <name val="Calibri"/>
      <family val="2"/>
    </font>
    <font>
      <i/>
      <sz val="11"/>
      <color theme="1"/>
      <name val="Calibri"/>
      <family val="2"/>
      <scheme val="minor"/>
    </font>
    <font>
      <b/>
      <sz val="11"/>
      <color theme="0" tint="-0.499984740745262"/>
      <name val="Calibri"/>
      <family val="2"/>
    </font>
    <font>
      <sz val="11"/>
      <color theme="0" tint="-0.499984740745262"/>
      <name val="Calibri"/>
      <family val="2"/>
      <scheme val="minor"/>
    </font>
    <font>
      <i/>
      <sz val="11"/>
      <color theme="0" tint="-0.499984740745262"/>
      <name val="Calibri"/>
      <family val="2"/>
      <scheme val="minor"/>
    </font>
    <font>
      <b/>
      <i/>
      <sz val="11"/>
      <color theme="1"/>
      <name val="Calibri"/>
      <family val="2"/>
      <scheme val="minor"/>
    </font>
    <font>
      <sz val="8"/>
      <name val="Calibri"/>
      <family val="2"/>
      <scheme val="minor"/>
    </font>
    <font>
      <sz val="1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medium">
        <color auto="1"/>
      </top>
      <bottom/>
      <diagonal/>
    </border>
    <border>
      <left/>
      <right/>
      <top/>
      <bottom style="medium">
        <color auto="1"/>
      </bottom>
      <diagonal/>
    </border>
  </borders>
  <cellStyleXfs count="6">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applyNumberFormat="0" applyFill="0" applyBorder="0" applyAlignment="0" applyProtection="0"/>
    <xf numFmtId="0" fontId="11" fillId="0" borderId="0"/>
    <xf numFmtId="0" fontId="20" fillId="0" borderId="0"/>
  </cellStyleXfs>
  <cellXfs count="155">
    <xf numFmtId="0" fontId="0" fillId="0" borderId="0" xfId="0"/>
    <xf numFmtId="0" fontId="1" fillId="0" borderId="1" xfId="0" applyFont="1" applyBorder="1" applyAlignment="1">
      <alignment horizontal="center" vertical="top"/>
    </xf>
    <xf numFmtId="0" fontId="3" fillId="0" borderId="0" xfId="0" applyFont="1"/>
    <xf numFmtId="0" fontId="3" fillId="0" borderId="0" xfId="0" applyFont="1" applyAlignment="1">
      <alignment horizontal="center" wrapText="1"/>
    </xf>
    <xf numFmtId="0" fontId="3" fillId="0" borderId="4" xfId="0" applyFont="1" applyBorder="1"/>
    <xf numFmtId="0" fontId="3" fillId="0" borderId="5" xfId="0" applyFont="1" applyBorder="1" applyAlignment="1">
      <alignment wrapText="1"/>
    </xf>
    <xf numFmtId="0" fontId="3" fillId="0" borderId="6" xfId="0" applyFont="1" applyBorder="1" applyAlignment="1">
      <alignment wrapText="1"/>
    </xf>
    <xf numFmtId="0" fontId="3" fillId="0" borderId="4" xfId="0" applyFont="1" applyBorder="1" applyAlignment="1">
      <alignment wrapText="1"/>
    </xf>
    <xf numFmtId="0" fontId="3" fillId="0" borderId="5" xfId="0" applyFont="1" applyBorder="1"/>
    <xf numFmtId="0" fontId="4" fillId="0" borderId="7" xfId="0" applyFont="1" applyBorder="1" applyAlignment="1">
      <alignment vertical="top" wrapText="1"/>
    </xf>
    <xf numFmtId="0" fontId="3" fillId="0" borderId="8" xfId="0" applyFont="1" applyBorder="1"/>
    <xf numFmtId="43" fontId="4" fillId="0" borderId="7" xfId="0" applyNumberFormat="1" applyFont="1" applyBorder="1"/>
    <xf numFmtId="43" fontId="4" fillId="0" borderId="9" xfId="0" applyNumberFormat="1" applyFont="1" applyBorder="1"/>
    <xf numFmtId="10" fontId="4" fillId="0" borderId="10" xfId="0" applyNumberFormat="1" applyFont="1" applyBorder="1"/>
    <xf numFmtId="164" fontId="4" fillId="0" borderId="9" xfId="1" applyNumberFormat="1" applyFont="1" applyBorder="1" applyAlignment="1">
      <alignment horizontal="right"/>
    </xf>
    <xf numFmtId="164" fontId="4" fillId="0" borderId="7" xfId="1" applyNumberFormat="1" applyFont="1" applyBorder="1" applyAlignment="1">
      <alignment horizontal="right"/>
    </xf>
    <xf numFmtId="43" fontId="4" fillId="0" borderId="0" xfId="1" applyFont="1" applyFill="1" applyBorder="1" applyAlignment="1">
      <alignment horizontal="right"/>
    </xf>
    <xf numFmtId="0" fontId="3" fillId="0" borderId="7" xfId="0" applyFont="1" applyBorder="1"/>
    <xf numFmtId="43" fontId="3" fillId="0" borderId="7" xfId="0" applyNumberFormat="1" applyFont="1" applyBorder="1"/>
    <xf numFmtId="43" fontId="3" fillId="0" borderId="9" xfId="0" applyNumberFormat="1" applyFont="1" applyBorder="1"/>
    <xf numFmtId="10" fontId="3" fillId="0" borderId="10" xfId="0" applyNumberFormat="1" applyFont="1" applyBorder="1"/>
    <xf numFmtId="43" fontId="3" fillId="0" borderId="7" xfId="1" applyFont="1" applyBorder="1"/>
    <xf numFmtId="164" fontId="3" fillId="0" borderId="9" xfId="1" applyNumberFormat="1" applyFont="1" applyBorder="1" applyAlignment="1">
      <alignment horizontal="right"/>
    </xf>
    <xf numFmtId="164" fontId="3" fillId="0" borderId="7" xfId="1" applyNumberFormat="1" applyFont="1" applyBorder="1" applyAlignment="1">
      <alignment horizontal="right"/>
    </xf>
    <xf numFmtId="43" fontId="3" fillId="0" borderId="0" xfId="1" applyFont="1" applyBorder="1"/>
    <xf numFmtId="43" fontId="3" fillId="0" borderId="2" xfId="1" applyFont="1" applyBorder="1"/>
    <xf numFmtId="10" fontId="3" fillId="0" borderId="3" xfId="2" applyNumberFormat="1" applyFont="1" applyBorder="1"/>
    <xf numFmtId="164" fontId="3" fillId="0" borderId="2" xfId="1" applyNumberFormat="1" applyFont="1" applyBorder="1" applyAlignment="1">
      <alignment horizontal="right"/>
    </xf>
    <xf numFmtId="43" fontId="3" fillId="0" borderId="4" xfId="1" applyFont="1" applyBorder="1"/>
    <xf numFmtId="43" fontId="3" fillId="0" borderId="5" xfId="1" applyFont="1" applyBorder="1"/>
    <xf numFmtId="10" fontId="3" fillId="0" borderId="6" xfId="2" applyNumberFormat="1" applyFont="1" applyBorder="1"/>
    <xf numFmtId="164" fontId="3" fillId="0" borderId="5" xfId="1" applyNumberFormat="1" applyFont="1" applyBorder="1" applyAlignment="1">
      <alignment horizontal="right"/>
    </xf>
    <xf numFmtId="43" fontId="3" fillId="0" borderId="9" xfId="1" applyFont="1" applyBorder="1"/>
    <xf numFmtId="10" fontId="3" fillId="0" borderId="10" xfId="2" applyNumberFormat="1" applyFont="1" applyBorder="1"/>
    <xf numFmtId="164" fontId="4" fillId="0" borderId="7" xfId="1" applyNumberFormat="1" applyFont="1" applyFill="1" applyBorder="1" applyAlignment="1">
      <alignment horizontal="right"/>
    </xf>
    <xf numFmtId="164" fontId="3" fillId="0" borderId="7" xfId="1" applyNumberFormat="1" applyFont="1" applyFill="1" applyBorder="1" applyAlignment="1">
      <alignment horizontal="right"/>
    </xf>
    <xf numFmtId="164" fontId="3" fillId="0" borderId="0" xfId="1" applyNumberFormat="1" applyFont="1" applyFill="1" applyBorder="1" applyAlignment="1">
      <alignment horizontal="right"/>
    </xf>
    <xf numFmtId="164" fontId="3" fillId="0" borderId="4" xfId="1" applyNumberFormat="1" applyFont="1" applyFill="1" applyBorder="1" applyAlignment="1">
      <alignment horizontal="right"/>
    </xf>
    <xf numFmtId="165" fontId="0" fillId="0" borderId="0" xfId="2" applyNumberFormat="1" applyFont="1"/>
    <xf numFmtId="43" fontId="5" fillId="0" borderId="0" xfId="1" applyFont="1"/>
    <xf numFmtId="43" fontId="6" fillId="0" borderId="0" xfId="1" applyFont="1"/>
    <xf numFmtId="10" fontId="0" fillId="0" borderId="0" xfId="2" applyNumberFormat="1" applyFont="1"/>
    <xf numFmtId="166" fontId="0" fillId="0" borderId="0" xfId="1" applyNumberFormat="1" applyFont="1"/>
    <xf numFmtId="43" fontId="0" fillId="0" borderId="0" xfId="1" applyFont="1"/>
    <xf numFmtId="9" fontId="0" fillId="0" borderId="0" xfId="2" applyFont="1"/>
    <xf numFmtId="0" fontId="8" fillId="0" borderId="0" xfId="3"/>
    <xf numFmtId="0" fontId="0" fillId="0" borderId="0" xfId="0" applyAlignment="1">
      <alignment wrapText="1"/>
    </xf>
    <xf numFmtId="49" fontId="9" fillId="0" borderId="0" xfId="0" applyNumberFormat="1" applyFont="1" applyAlignment="1">
      <alignment wrapText="1"/>
    </xf>
    <xf numFmtId="0" fontId="7" fillId="0" borderId="0" xfId="0" applyFont="1"/>
    <xf numFmtId="10" fontId="0" fillId="0" borderId="0" xfId="0" applyNumberFormat="1"/>
    <xf numFmtId="0" fontId="0" fillId="0" borderId="6" xfId="0" applyBorder="1"/>
    <xf numFmtId="0" fontId="0" fillId="0" borderId="11" xfId="0" applyBorder="1"/>
    <xf numFmtId="0" fontId="0" fillId="0" borderId="5" xfId="0" applyBorder="1"/>
    <xf numFmtId="0" fontId="0" fillId="0" borderId="12" xfId="0" applyBorder="1"/>
    <xf numFmtId="0" fontId="0" fillId="0" borderId="1" xfId="0" applyBorder="1"/>
    <xf numFmtId="0" fontId="0" fillId="0" borderId="13" xfId="0" applyBorder="1"/>
    <xf numFmtId="0" fontId="0" fillId="2" borderId="12" xfId="0" applyFill="1" applyBorder="1"/>
    <xf numFmtId="0" fontId="0" fillId="2" borderId="1" xfId="0" applyFill="1" applyBorder="1"/>
    <xf numFmtId="0" fontId="0" fillId="2" borderId="13" xfId="0" applyFill="1" applyBorder="1"/>
    <xf numFmtId="0" fontId="0" fillId="0" borderId="3" xfId="0" applyBorder="1"/>
    <xf numFmtId="0" fontId="0" fillId="0" borderId="14" xfId="0" applyBorder="1"/>
    <xf numFmtId="0" fontId="0" fillId="0" borderId="2" xfId="0" applyBorder="1"/>
    <xf numFmtId="0" fontId="0" fillId="2" borderId="3" xfId="0" applyFill="1" applyBorder="1"/>
    <xf numFmtId="0" fontId="0" fillId="2" borderId="14" xfId="0" applyFill="1" applyBorder="1"/>
    <xf numFmtId="0" fontId="0" fillId="2" borderId="2" xfId="0" applyFill="1" applyBorder="1"/>
    <xf numFmtId="9" fontId="0" fillId="0" borderId="0" xfId="0" applyNumberFormat="1"/>
    <xf numFmtId="9" fontId="7" fillId="0" borderId="0" xfId="2" applyFont="1"/>
    <xf numFmtId="166" fontId="0" fillId="0" borderId="0" xfId="0" applyNumberFormat="1"/>
    <xf numFmtId="167" fontId="0" fillId="0" borderId="0" xfId="1" applyNumberFormat="1" applyFont="1"/>
    <xf numFmtId="0" fontId="0" fillId="0" borderId="0" xfId="0" applyAlignment="1">
      <alignment horizontal="right"/>
    </xf>
    <xf numFmtId="0" fontId="10" fillId="0" borderId="0" xfId="0" applyFont="1" applyAlignment="1">
      <alignment horizontal="right"/>
    </xf>
    <xf numFmtId="168" fontId="11" fillId="0" borderId="10" xfId="4" applyNumberFormat="1" applyBorder="1"/>
    <xf numFmtId="0" fontId="11" fillId="0" borderId="0" xfId="4"/>
    <xf numFmtId="168" fontId="11" fillId="0" borderId="3" xfId="4" applyNumberFormat="1" applyBorder="1"/>
    <xf numFmtId="168" fontId="11" fillId="0" borderId="0" xfId="4" applyNumberFormat="1" applyAlignment="1">
      <alignment horizontal="right"/>
    </xf>
    <xf numFmtId="168" fontId="11" fillId="0" borderId="10" xfId="4" applyNumberFormat="1" applyBorder="1" applyAlignment="1">
      <alignment horizontal="left"/>
    </xf>
    <xf numFmtId="168" fontId="11" fillId="0" borderId="7" xfId="4" applyNumberFormat="1" applyBorder="1"/>
    <xf numFmtId="168" fontId="11" fillId="0" borderId="3" xfId="4" applyNumberFormat="1" applyBorder="1" applyAlignment="1">
      <alignment horizontal="left"/>
    </xf>
    <xf numFmtId="168" fontId="11" fillId="0" borderId="0" xfId="4" applyNumberFormat="1"/>
    <xf numFmtId="164" fontId="4" fillId="0" borderId="0" xfId="1" applyNumberFormat="1" applyFont="1" applyFill="1" applyBorder="1" applyAlignment="1">
      <alignment horizontal="right"/>
    </xf>
    <xf numFmtId="168" fontId="11" fillId="0" borderId="0" xfId="4" applyNumberFormat="1" applyAlignment="1">
      <alignment horizontal="left"/>
    </xf>
    <xf numFmtId="168" fontId="12" fillId="0" borderId="0" xfId="4" applyNumberFormat="1" applyFont="1" applyAlignment="1">
      <alignment horizontal="right"/>
    </xf>
    <xf numFmtId="1" fontId="0" fillId="0" borderId="0" xfId="0" applyNumberFormat="1"/>
    <xf numFmtId="0" fontId="0" fillId="3" borderId="0" xfId="0" applyFill="1"/>
    <xf numFmtId="43" fontId="3" fillId="0" borderId="6" xfId="1" applyFont="1" applyBorder="1" applyAlignment="1">
      <alignment wrapText="1"/>
    </xf>
    <xf numFmtId="43" fontId="4" fillId="0" borderId="10" xfId="1" applyFont="1" applyBorder="1"/>
    <xf numFmtId="43" fontId="3" fillId="0" borderId="10" xfId="1" applyFont="1" applyBorder="1"/>
    <xf numFmtId="43" fontId="3" fillId="0" borderId="3" xfId="1" applyFont="1" applyBorder="1"/>
    <xf numFmtId="43" fontId="3" fillId="0" borderId="6" xfId="1" applyFont="1" applyBorder="1"/>
    <xf numFmtId="0" fontId="14" fillId="0" borderId="0" xfId="0" applyFont="1"/>
    <xf numFmtId="43" fontId="14" fillId="0" borderId="0" xfId="1" applyFont="1"/>
    <xf numFmtId="0" fontId="15" fillId="0" borderId="1" xfId="0" applyFont="1" applyBorder="1" applyAlignment="1">
      <alignment horizontal="center" vertical="top"/>
    </xf>
    <xf numFmtId="43" fontId="16" fillId="0" borderId="0" xfId="1" applyFont="1"/>
    <xf numFmtId="43" fontId="17" fillId="0" borderId="0" xfId="1" applyFont="1"/>
    <xf numFmtId="43" fontId="13" fillId="0" borderId="1" xfId="1" applyFont="1" applyBorder="1" applyAlignment="1">
      <alignment horizontal="center" vertical="top"/>
    </xf>
    <xf numFmtId="43" fontId="7" fillId="0" borderId="0" xfId="1" applyFont="1"/>
    <xf numFmtId="43" fontId="18" fillId="0" borderId="0" xfId="1" applyFont="1"/>
    <xf numFmtId="0" fontId="12" fillId="0" borderId="1" xfId="0" applyFont="1" applyBorder="1" applyAlignment="1">
      <alignment horizontal="center" vertical="top"/>
    </xf>
    <xf numFmtId="0" fontId="0" fillId="0" borderId="0" xfId="0" applyFont="1"/>
    <xf numFmtId="0" fontId="0" fillId="0" borderId="15" xfId="0" applyBorder="1"/>
    <xf numFmtId="10" fontId="0" fillId="0" borderId="15" xfId="2" applyNumberFormat="1" applyFont="1" applyBorder="1"/>
    <xf numFmtId="0" fontId="0" fillId="0" borderId="16" xfId="0" applyBorder="1"/>
    <xf numFmtId="10" fontId="0" fillId="0" borderId="16" xfId="2" applyNumberFormat="1" applyFont="1" applyBorder="1"/>
    <xf numFmtId="10" fontId="0" fillId="0" borderId="0" xfId="2" applyNumberFormat="1" applyFont="1" applyAlignment="1">
      <alignment wrapText="1"/>
    </xf>
    <xf numFmtId="0" fontId="0" fillId="2" borderId="0" xfId="0" applyFill="1" applyBorder="1"/>
    <xf numFmtId="43" fontId="0" fillId="0" borderId="0" xfId="0" applyNumberFormat="1"/>
    <xf numFmtId="1" fontId="0" fillId="0" borderId="0" xfId="1" applyNumberFormat="1" applyFont="1"/>
    <xf numFmtId="169" fontId="0" fillId="0" borderId="0" xfId="2" applyNumberFormat="1" applyFont="1"/>
    <xf numFmtId="170" fontId="0" fillId="0" borderId="0" xfId="1" applyNumberFormat="1" applyFont="1"/>
    <xf numFmtId="0" fontId="0" fillId="0" borderId="8" xfId="0" applyBorder="1"/>
    <xf numFmtId="166" fontId="0" fillId="0" borderId="8" xfId="1" applyNumberFormat="1" applyFont="1" applyBorder="1"/>
    <xf numFmtId="0" fontId="7" fillId="0" borderId="4" xfId="0" applyFont="1" applyBorder="1"/>
    <xf numFmtId="166" fontId="7" fillId="0" borderId="0" xfId="1" applyNumberFormat="1" applyFont="1"/>
    <xf numFmtId="0" fontId="0" fillId="0" borderId="0" xfId="0" applyAlignment="1">
      <alignment horizontal="center"/>
    </xf>
    <xf numFmtId="0" fontId="7" fillId="0" borderId="0" xfId="1" applyNumberFormat="1" applyFont="1"/>
    <xf numFmtId="170" fontId="7" fillId="0" borderId="0" xfId="1" applyNumberFormat="1" applyFont="1"/>
    <xf numFmtId="0" fontId="0" fillId="0" borderId="0" xfId="0" quotePrefix="1"/>
    <xf numFmtId="10" fontId="0" fillId="0" borderId="0" xfId="2" quotePrefix="1" applyNumberFormat="1" applyFont="1"/>
    <xf numFmtId="0" fontId="0" fillId="0" borderId="0" xfId="0" applyFill="1"/>
    <xf numFmtId="0" fontId="0" fillId="4" borderId="8" xfId="0" applyFill="1" applyBorder="1"/>
    <xf numFmtId="166" fontId="0" fillId="4" borderId="8" xfId="1" applyNumberFormat="1" applyFont="1" applyFill="1" applyBorder="1"/>
    <xf numFmtId="10" fontId="0" fillId="4" borderId="8" xfId="0" applyNumberFormat="1" applyFill="1" applyBorder="1"/>
    <xf numFmtId="0" fontId="0" fillId="0" borderId="8" xfId="0" applyFill="1" applyBorder="1"/>
    <xf numFmtId="166" fontId="0" fillId="0" borderId="8" xfId="1" applyNumberFormat="1" applyFont="1" applyFill="1" applyBorder="1"/>
    <xf numFmtId="10" fontId="0" fillId="0" borderId="8" xfId="2" applyNumberFormat="1" applyFont="1" applyFill="1" applyBorder="1"/>
    <xf numFmtId="10" fontId="0" fillId="0" borderId="8" xfId="0" applyNumberFormat="1" applyFill="1" applyBorder="1"/>
    <xf numFmtId="169" fontId="0" fillId="0" borderId="8" xfId="2" applyNumberFormat="1" applyFont="1" applyFill="1" applyBorder="1"/>
    <xf numFmtId="0" fontId="0" fillId="0" borderId="7" xfId="0" applyFill="1" applyBorder="1"/>
    <xf numFmtId="166" fontId="0" fillId="0" borderId="7" xfId="1" applyNumberFormat="1" applyFont="1" applyFill="1" applyBorder="1"/>
    <xf numFmtId="10" fontId="0" fillId="0" borderId="7" xfId="2" applyNumberFormat="1" applyFont="1" applyFill="1" applyBorder="1"/>
    <xf numFmtId="10" fontId="0" fillId="0" borderId="7" xfId="0" applyNumberFormat="1" applyFill="1" applyBorder="1"/>
    <xf numFmtId="169" fontId="0" fillId="0" borderId="7" xfId="2" applyNumberFormat="1" applyFont="1" applyFill="1" applyBorder="1"/>
    <xf numFmtId="166" fontId="0" fillId="4" borderId="0" xfId="1" applyNumberFormat="1" applyFont="1" applyFill="1"/>
    <xf numFmtId="0" fontId="0" fillId="4" borderId="0" xfId="0" applyFill="1"/>
    <xf numFmtId="1" fontId="0" fillId="4" borderId="0" xfId="1" applyNumberFormat="1" applyFont="1" applyFill="1"/>
    <xf numFmtId="166" fontId="0" fillId="4" borderId="0" xfId="0" applyNumberFormat="1" applyFill="1"/>
    <xf numFmtId="1" fontId="0" fillId="4" borderId="0" xfId="0" applyNumberFormat="1" applyFill="1"/>
    <xf numFmtId="0" fontId="0" fillId="0" borderId="0" xfId="0" applyAlignment="1">
      <alignment horizontal="center"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center"/>
    </xf>
    <xf numFmtId="0" fontId="3" fillId="0" borderId="2" xfId="0" applyFont="1" applyBorder="1" applyAlignment="1">
      <alignment horizontal="center" wrapText="1"/>
    </xf>
    <xf numFmtId="0" fontId="3" fillId="0" borderId="0" xfId="0" applyFont="1" applyAlignment="1">
      <alignment horizontal="center" wrapText="1"/>
    </xf>
    <xf numFmtId="0" fontId="3" fillId="0" borderId="3" xfId="0" applyFont="1" applyBorder="1" applyAlignment="1">
      <alignment horizontal="center" wrapText="1"/>
    </xf>
    <xf numFmtId="0" fontId="3" fillId="0" borderId="7" xfId="0" applyFont="1" applyBorder="1" applyAlignment="1">
      <alignment horizontal="left" vertical="top"/>
    </xf>
    <xf numFmtId="0" fontId="3" fillId="0" borderId="0" xfId="0" applyFont="1" applyAlignment="1">
      <alignment horizontal="left" vertical="top"/>
    </xf>
    <xf numFmtId="0" fontId="3" fillId="0" borderId="4" xfId="0" applyFont="1" applyBorder="1" applyAlignment="1">
      <alignment horizontal="left" vertical="top"/>
    </xf>
    <xf numFmtId="168" fontId="11" fillId="0" borderId="7" xfId="4" applyNumberFormat="1" applyBorder="1" applyAlignment="1">
      <alignment horizontal="center"/>
    </xf>
    <xf numFmtId="0" fontId="11" fillId="0" borderId="0" xfId="4" applyAlignment="1">
      <alignment horizontal="center"/>
    </xf>
    <xf numFmtId="0" fontId="1" fillId="0" borderId="13" xfId="0" applyFont="1" applyBorder="1" applyAlignment="1">
      <alignment horizontal="center" vertical="top"/>
    </xf>
    <xf numFmtId="0" fontId="1" fillId="0" borderId="8" xfId="0" applyFont="1" applyBorder="1" applyAlignment="1">
      <alignment horizontal="center" vertical="top"/>
    </xf>
    <xf numFmtId="0" fontId="1" fillId="0" borderId="12" xfId="0" applyFont="1" applyBorder="1" applyAlignment="1">
      <alignment horizontal="center" vertical="top"/>
    </xf>
  </cellXfs>
  <cellStyles count="6">
    <cellStyle name="Comma" xfId="1" builtinId="3"/>
    <cellStyle name="Hyperlink" xfId="3" builtinId="8"/>
    <cellStyle name="Normal" xfId="0" builtinId="0"/>
    <cellStyle name="Normal 2" xfId="4" xr:uid="{01906E67-149F-45AA-93E3-9B7D7FF25BBC}"/>
    <cellStyle name="Normal 3" xfId="5" xr:uid="{11545C14-D683-4FAA-B012-D8CFF463C1B5}"/>
    <cellStyle name="Per cent" xfId="2" builtinId="5"/>
  </cellStyles>
  <dxfs count="11">
    <dxf>
      <numFmt numFmtId="168" formatCode="#,###"/>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
      <numFmt numFmtId="168" formatCode="#,###"/>
      <alignment horizontal="left" vertical="bottom" textRotation="0" wrapText="0" indent="0" justifyLastLine="0" shrinkToFit="0" readingOrder="0"/>
    </dxf>
    <dxf>
      <numFmt numFmtId="168" formatCode="#,###"/>
      <alignment horizontal="left" vertical="bottom" textRotation="0" wrapText="0" indent="0" justifyLastLine="0" shrinkToFit="0" readingOrder="0"/>
      <border diagonalUp="0" diagonalDown="0">
        <left/>
        <right style="thin">
          <color auto="1"/>
        </right>
        <top/>
        <bottom/>
        <vertical/>
        <horizontal/>
      </border>
    </dxf>
    <dxf>
      <border outline="0">
        <bottom style="thin">
          <color auto="1"/>
        </bottom>
      </border>
    </dxf>
    <dxf>
      <alignment horizontal="right" vertical="bottom" textRotation="0" wrapText="0" indent="0" justifyLastLine="0" shrinkToFit="0" readingOrder="0"/>
    </dxf>
    <dxf>
      <numFmt numFmtId="168" formatCode="#,###"/>
      <alignment horizontal="right" vertical="bottom" textRotation="0" wrapText="0" indent="0" justifyLastLine="0" shrinkToFit="0" readingOrder="0"/>
    </dxf>
  </dxfs>
  <tableStyles count="0" defaultTableStyle="TableStyleMedium9" defaultPivotStyle="PivotStyleLight16"/>
  <colors>
    <mruColors>
      <color rgb="FFFFFFCC"/>
      <color rgb="FF3FF6FF"/>
      <color rgb="FFB7FCFF"/>
      <color rgb="FFFEF3B4"/>
      <color rgb="FFFB2D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1705E-9FB8-40A7-ACD1-AD0F5B120853}" name="Table1" displayName="Table1" ref="A3:H518" totalsRowShown="0" headerRowDxfId="10" dataDxfId="9" tableBorderDxfId="8" headerRowCellStyle="Normal 2" dataCellStyle="Normal 2">
  <autoFilter ref="A3:H518" xr:uid="{A701705E-9FB8-40A7-ACD1-AD0F5B120853}">
    <filterColumn colId="1">
      <customFilters>
        <customFilter operator="notEqual" val=" "/>
      </customFilters>
    </filterColumn>
  </autoFilter>
  <tableColumns count="8">
    <tableColumn id="1" xr3:uid="{0D496E0B-8AD1-4CC3-8C25-F083D5B833DC}" name="Regency/municipality" dataDxfId="7" dataCellStyle="Normal 2"/>
    <tableColumn id="2" xr3:uid="{9A1B09DF-6D28-49F6-8A40-7DB1A31A2327}" name="Regency municipality_EN" dataDxfId="6" dataCellStyle="Normal 2"/>
    <tableColumn id="3" xr3:uid="{A8ACA717-5A92-4887-9417-3D2B2B10CC96}" name="Lowest (20%)" dataDxfId="5" dataCellStyle="Normal 2"/>
    <tableColumn id="4" xr3:uid="{99A84531-F028-4912-911E-284A49B6B4B2}" name="Lower (40%)" dataDxfId="4" dataCellStyle="Normal 2"/>
    <tableColumn id="5" xr3:uid="{293F5D4B-205F-4E0A-8ACE-29BC05888DE3}" name="Middle (60%)" dataDxfId="3" dataCellStyle="Normal 2"/>
    <tableColumn id="6" xr3:uid="{204CCEAB-F434-4FF3-9AD7-992D75441C2D}" name="Higher (80%)" dataDxfId="2" dataCellStyle="Normal 2"/>
    <tableColumn id="7" xr3:uid="{1EA44552-1E39-4255-9F50-C387129D0664}" name="Highest (100%)" dataDxfId="1" dataCellStyle="Normal 2"/>
    <tableColumn id="8" xr3:uid="{CF4AF681-71D1-4A34-A1DD-D9C1AE4B443B}" name="Total" dataDxfId="0"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D2BF-8F26-4799-B769-D70A70469061}">
  <dimension ref="A1:F74"/>
  <sheetViews>
    <sheetView workbookViewId="0">
      <pane xSplit="1" ySplit="2" topLeftCell="B3" activePane="bottomRight" state="frozen"/>
      <selection pane="topRight" activeCell="B1" sqref="B1"/>
      <selection pane="bottomLeft" activeCell="A3" sqref="A3"/>
      <selection pane="bottomRight" activeCell="B9" sqref="B9"/>
    </sheetView>
  </sheetViews>
  <sheetFormatPr defaultRowHeight="14.25" x14ac:dyDescent="0.45"/>
  <cols>
    <col min="1" max="1" width="30.796875" customWidth="1"/>
    <col min="2" max="2" width="21.9296875" customWidth="1"/>
    <col min="3" max="5" width="20.59765625" customWidth="1"/>
    <col min="6" max="6" width="32.06640625" customWidth="1"/>
  </cols>
  <sheetData>
    <row r="1" spans="1:6" s="46" customFormat="1" x14ac:dyDescent="0.45">
      <c r="B1" s="46" t="s">
        <v>157</v>
      </c>
      <c r="C1" s="137" t="s">
        <v>885</v>
      </c>
      <c r="D1" s="137"/>
      <c r="E1" s="137"/>
    </row>
    <row r="2" spans="1:6" x14ac:dyDescent="0.45">
      <c r="A2" t="s">
        <v>886</v>
      </c>
      <c r="B2" t="s">
        <v>887</v>
      </c>
      <c r="C2" t="s">
        <v>142</v>
      </c>
      <c r="D2" t="s">
        <v>143</v>
      </c>
      <c r="E2" t="s">
        <v>144</v>
      </c>
      <c r="F2" t="s">
        <v>888</v>
      </c>
    </row>
    <row r="3" spans="1:6" ht="39" customHeight="1" x14ac:dyDescent="0.45">
      <c r="A3" s="48" t="s">
        <v>147</v>
      </c>
    </row>
    <row r="4" spans="1:6" ht="51.75" x14ac:dyDescent="0.45">
      <c r="A4" t="s">
        <v>148</v>
      </c>
      <c r="B4" s="47" t="s">
        <v>158</v>
      </c>
      <c r="C4" s="47" t="s">
        <v>864</v>
      </c>
      <c r="D4" s="47" t="s">
        <v>160</v>
      </c>
      <c r="E4" s="47" t="s">
        <v>161</v>
      </c>
      <c r="F4" s="47" t="s">
        <v>209</v>
      </c>
    </row>
    <row r="5" spans="1:6" x14ac:dyDescent="0.45">
      <c r="A5" t="s">
        <v>149</v>
      </c>
      <c r="B5" s="49">
        <v>3.2899999999999999E-2</v>
      </c>
      <c r="C5" s="49">
        <v>2.2700000000000001E-2</v>
      </c>
      <c r="D5" s="49">
        <v>1.5699999999999999E-2</v>
      </c>
      <c r="E5" s="49">
        <v>1.0699999999999999E-2</v>
      </c>
    </row>
    <row r="6" spans="1:6" x14ac:dyDescent="0.45">
      <c r="A6" t="s">
        <v>150</v>
      </c>
      <c r="B6" s="49">
        <v>1.0699999999999999E-2</v>
      </c>
    </row>
    <row r="7" spans="1:6" x14ac:dyDescent="0.45">
      <c r="A7" t="s">
        <v>333</v>
      </c>
      <c r="B7" s="67">
        <v>180405</v>
      </c>
      <c r="C7" s="67">
        <f>C8/(3.8*50)</f>
        <v>217503.2794565605</v>
      </c>
      <c r="D7" s="67">
        <f>D8/(3.8*50)</f>
        <v>208533.99328931159</v>
      </c>
      <c r="E7" s="67">
        <f>E8/(3.8*50)</f>
        <v>200640.7180484095</v>
      </c>
    </row>
    <row r="8" spans="1:6" ht="26.25" x14ac:dyDescent="0.45">
      <c r="A8" t="s">
        <v>329</v>
      </c>
      <c r="B8" s="67">
        <f>39.6214587249692*1000000</f>
        <v>39621458.724969201</v>
      </c>
      <c r="C8" s="67">
        <f>41.3256230967465*1000000</f>
        <v>41325623.096746497</v>
      </c>
      <c r="D8" s="67">
        <f>39.6214587249692*1000000</f>
        <v>39621458.724969201</v>
      </c>
      <c r="E8" s="67">
        <f>38.1217364291978*1000000</f>
        <v>38121736.429197803</v>
      </c>
      <c r="F8" s="47" t="s">
        <v>334</v>
      </c>
    </row>
    <row r="9" spans="1:6" x14ac:dyDescent="0.45">
      <c r="A9" s="48" t="s">
        <v>152</v>
      </c>
    </row>
    <row r="10" spans="1:6" ht="51.75" x14ac:dyDescent="0.45">
      <c r="A10" t="s">
        <v>148</v>
      </c>
      <c r="B10" s="47" t="s">
        <v>207</v>
      </c>
      <c r="C10" s="47" t="s">
        <v>186</v>
      </c>
      <c r="D10" s="47" t="s">
        <v>165</v>
      </c>
      <c r="E10" s="47" t="s">
        <v>162</v>
      </c>
      <c r="F10" s="47" t="s">
        <v>210</v>
      </c>
    </row>
    <row r="11" spans="1:6" x14ac:dyDescent="0.45">
      <c r="A11" t="s">
        <v>318</v>
      </c>
      <c r="B11" s="83"/>
      <c r="C11" s="83"/>
      <c r="D11" s="83"/>
      <c r="E11" s="83"/>
    </row>
    <row r="12" spans="1:6" x14ac:dyDescent="0.45">
      <c r="A12" t="s">
        <v>319</v>
      </c>
      <c r="B12" s="65">
        <v>0.1</v>
      </c>
      <c r="C12">
        <v>7</v>
      </c>
      <c r="D12">
        <v>13</v>
      </c>
      <c r="E12">
        <v>25</v>
      </c>
    </row>
    <row r="13" spans="1:6" x14ac:dyDescent="0.45">
      <c r="A13" s="48" t="s">
        <v>153</v>
      </c>
    </row>
    <row r="14" spans="1:6" ht="51.75" x14ac:dyDescent="0.45">
      <c r="A14" t="s">
        <v>148</v>
      </c>
      <c r="B14" s="47" t="s">
        <v>206</v>
      </c>
      <c r="C14" s="47" t="s">
        <v>164</v>
      </c>
      <c r="D14" s="47" t="s">
        <v>165</v>
      </c>
      <c r="E14" s="47" t="s">
        <v>162</v>
      </c>
      <c r="F14" s="47" t="s">
        <v>210</v>
      </c>
    </row>
    <row r="15" spans="1:6" x14ac:dyDescent="0.45">
      <c r="A15" t="s">
        <v>318</v>
      </c>
      <c r="B15" s="83"/>
      <c r="C15" s="83"/>
      <c r="D15" s="83"/>
      <c r="E15" s="83"/>
    </row>
    <row r="16" spans="1:6" x14ac:dyDescent="0.45">
      <c r="A16" t="s">
        <v>319</v>
      </c>
      <c r="B16" s="65">
        <v>0.43</v>
      </c>
      <c r="C16">
        <v>23</v>
      </c>
      <c r="D16">
        <v>48</v>
      </c>
      <c r="E16">
        <v>50</v>
      </c>
    </row>
    <row r="17" spans="1:6" x14ac:dyDescent="0.45">
      <c r="A17" s="48" t="s">
        <v>154</v>
      </c>
    </row>
    <row r="18" spans="1:6" x14ac:dyDescent="0.45">
      <c r="A18" t="s">
        <v>148</v>
      </c>
      <c r="B18" s="47" t="s">
        <v>156</v>
      </c>
      <c r="C18" s="47" t="s">
        <v>187</v>
      </c>
      <c r="D18" s="47" t="s">
        <v>188</v>
      </c>
      <c r="E18" s="47" t="s">
        <v>189</v>
      </c>
    </row>
    <row r="19" spans="1:6" x14ac:dyDescent="0.45">
      <c r="A19" t="s">
        <v>318</v>
      </c>
      <c r="B19" s="83"/>
      <c r="C19" s="83"/>
      <c r="D19" s="83"/>
      <c r="E19" s="83"/>
    </row>
    <row r="20" spans="1:6" x14ac:dyDescent="0.45">
      <c r="A20" t="s">
        <v>319</v>
      </c>
      <c r="B20" s="65">
        <v>0.2</v>
      </c>
      <c r="C20">
        <v>33</v>
      </c>
      <c r="D20">
        <v>20</v>
      </c>
      <c r="E20">
        <v>15</v>
      </c>
    </row>
    <row r="21" spans="1:6" x14ac:dyDescent="0.45">
      <c r="A21" s="48" t="s">
        <v>155</v>
      </c>
    </row>
    <row r="22" spans="1:6" ht="39" x14ac:dyDescent="0.45">
      <c r="A22" t="s">
        <v>148</v>
      </c>
      <c r="B22" s="47" t="s">
        <v>208</v>
      </c>
      <c r="C22" s="47" t="s">
        <v>163</v>
      </c>
      <c r="D22" s="47" t="s">
        <v>190</v>
      </c>
      <c r="E22" s="47" t="s">
        <v>189</v>
      </c>
      <c r="F22" s="47" t="s">
        <v>210</v>
      </c>
    </row>
    <row r="23" spans="1:6" x14ac:dyDescent="0.45">
      <c r="A23" t="s">
        <v>318</v>
      </c>
      <c r="B23" s="83"/>
      <c r="C23" s="83"/>
      <c r="D23" s="83"/>
      <c r="E23" s="83"/>
    </row>
    <row r="24" spans="1:6" x14ac:dyDescent="0.45">
      <c r="A24" t="s">
        <v>319</v>
      </c>
      <c r="B24" s="65">
        <v>0.27</v>
      </c>
      <c r="C24">
        <v>37</v>
      </c>
      <c r="D24">
        <v>19</v>
      </c>
      <c r="E24">
        <v>10</v>
      </c>
    </row>
    <row r="25" spans="1:6" x14ac:dyDescent="0.45">
      <c r="A25" t="s">
        <v>320</v>
      </c>
      <c r="B25" s="65">
        <f>SUM(B24,B20,B16,B12)</f>
        <v>1</v>
      </c>
      <c r="C25" s="43">
        <f t="shared" ref="C25:E25" si="0">SUM(C24,C20,C16,C12)</f>
        <v>100</v>
      </c>
      <c r="D25" s="43">
        <f t="shared" si="0"/>
        <v>100</v>
      </c>
      <c r="E25" s="43">
        <f t="shared" si="0"/>
        <v>100</v>
      </c>
    </row>
    <row r="26" spans="1:6" x14ac:dyDescent="0.45">
      <c r="A26" s="48" t="s">
        <v>159</v>
      </c>
    </row>
    <row r="27" spans="1:6" ht="39" x14ac:dyDescent="0.45">
      <c r="A27" t="s">
        <v>148</v>
      </c>
      <c r="B27" s="47" t="s">
        <v>191</v>
      </c>
      <c r="C27" s="47"/>
      <c r="D27" s="47" t="s">
        <v>190</v>
      </c>
      <c r="E27" s="47" t="s">
        <v>189</v>
      </c>
      <c r="F27" s="47"/>
    </row>
    <row r="28" spans="1:6" x14ac:dyDescent="0.45">
      <c r="A28" t="s">
        <v>149</v>
      </c>
      <c r="B28" s="83"/>
      <c r="C28" s="83"/>
      <c r="D28" s="83"/>
      <c r="E28" s="83"/>
    </row>
    <row r="29" spans="1:6" x14ac:dyDescent="0.45">
      <c r="A29" t="s">
        <v>150</v>
      </c>
      <c r="B29" s="83"/>
      <c r="C29" s="83"/>
      <c r="D29" s="83"/>
      <c r="E29" s="83"/>
    </row>
    <row r="30" spans="1:6" x14ac:dyDescent="0.45">
      <c r="A30" s="48" t="s">
        <v>192</v>
      </c>
    </row>
    <row r="31" spans="1:6" x14ac:dyDescent="0.45">
      <c r="A31" t="s">
        <v>148</v>
      </c>
      <c r="B31" s="47" t="s">
        <v>203</v>
      </c>
      <c r="C31" s="47"/>
      <c r="D31" s="47"/>
      <c r="E31" s="47"/>
    </row>
    <row r="32" spans="1:6" x14ac:dyDescent="0.45">
      <c r="A32" t="s">
        <v>149</v>
      </c>
    </row>
    <row r="33" spans="1:6" x14ac:dyDescent="0.45">
      <c r="A33" t="s">
        <v>150</v>
      </c>
    </row>
    <row r="34" spans="1:6" x14ac:dyDescent="0.45">
      <c r="A34" s="48" t="s">
        <v>193</v>
      </c>
    </row>
    <row r="35" spans="1:6" ht="39" x14ac:dyDescent="0.45">
      <c r="A35" t="s">
        <v>148</v>
      </c>
      <c r="B35" s="47" t="s">
        <v>204</v>
      </c>
      <c r="C35" s="47"/>
      <c r="D35" s="47"/>
      <c r="E35" s="47"/>
      <c r="F35" s="47"/>
    </row>
    <row r="36" spans="1:6" x14ac:dyDescent="0.45">
      <c r="A36" t="s">
        <v>149</v>
      </c>
    </row>
    <row r="37" spans="1:6" x14ac:dyDescent="0.45">
      <c r="A37" t="s">
        <v>150</v>
      </c>
    </row>
    <row r="38" spans="1:6" x14ac:dyDescent="0.45">
      <c r="A38" s="48" t="s">
        <v>194</v>
      </c>
    </row>
    <row r="39" spans="1:6" ht="64.5" x14ac:dyDescent="0.45">
      <c r="A39" t="s">
        <v>148</v>
      </c>
      <c r="B39" s="47" t="s">
        <v>889</v>
      </c>
      <c r="C39" s="47"/>
      <c r="D39" s="47"/>
      <c r="E39" s="47"/>
      <c r="F39" s="47" t="s">
        <v>211</v>
      </c>
    </row>
    <row r="40" spans="1:6" x14ac:dyDescent="0.45">
      <c r="A40" t="s">
        <v>149</v>
      </c>
    </row>
    <row r="41" spans="1:6" x14ac:dyDescent="0.45">
      <c r="A41" t="s">
        <v>150</v>
      </c>
    </row>
    <row r="42" spans="1:6" x14ac:dyDescent="0.45">
      <c r="A42" s="48" t="s">
        <v>195</v>
      </c>
    </row>
    <row r="43" spans="1:6" ht="39" x14ac:dyDescent="0.45">
      <c r="A43" t="s">
        <v>148</v>
      </c>
      <c r="B43" s="47" t="s">
        <v>205</v>
      </c>
      <c r="C43" s="47"/>
      <c r="D43" s="47"/>
      <c r="E43" s="47"/>
      <c r="F43" s="47"/>
    </row>
    <row r="44" spans="1:6" x14ac:dyDescent="0.45">
      <c r="A44" t="s">
        <v>149</v>
      </c>
    </row>
    <row r="45" spans="1:6" x14ac:dyDescent="0.45">
      <c r="A45" t="s">
        <v>150</v>
      </c>
    </row>
    <row r="46" spans="1:6" x14ac:dyDescent="0.45">
      <c r="A46" s="48" t="s">
        <v>196</v>
      </c>
    </row>
    <row r="47" spans="1:6" x14ac:dyDescent="0.45">
      <c r="A47" t="s">
        <v>148</v>
      </c>
      <c r="B47" s="47"/>
      <c r="C47" s="47"/>
      <c r="D47" s="47"/>
      <c r="E47" s="47"/>
      <c r="F47" s="47"/>
    </row>
    <row r="48" spans="1:6" x14ac:dyDescent="0.45">
      <c r="A48" t="s">
        <v>149</v>
      </c>
    </row>
    <row r="49" spans="1:5" x14ac:dyDescent="0.45">
      <c r="A49" t="s">
        <v>150</v>
      </c>
    </row>
    <row r="50" spans="1:5" x14ac:dyDescent="0.45">
      <c r="A50" s="48" t="s">
        <v>197</v>
      </c>
    </row>
    <row r="51" spans="1:5" ht="39" x14ac:dyDescent="0.45">
      <c r="A51" t="s">
        <v>148</v>
      </c>
      <c r="B51" s="47" t="s">
        <v>212</v>
      </c>
      <c r="C51" s="47"/>
      <c r="D51" s="47"/>
      <c r="E51" s="47"/>
    </row>
    <row r="52" spans="1:5" x14ac:dyDescent="0.45">
      <c r="A52" t="s">
        <v>149</v>
      </c>
    </row>
    <row r="53" spans="1:5" x14ac:dyDescent="0.45">
      <c r="A53" t="s">
        <v>150</v>
      </c>
    </row>
    <row r="54" spans="1:5" x14ac:dyDescent="0.45">
      <c r="A54" s="48" t="s">
        <v>198</v>
      </c>
    </row>
    <row r="55" spans="1:5" x14ac:dyDescent="0.45">
      <c r="A55" t="s">
        <v>148</v>
      </c>
      <c r="B55" s="47"/>
      <c r="C55" s="47"/>
      <c r="D55" s="47"/>
      <c r="E55" s="47"/>
    </row>
    <row r="56" spans="1:5" x14ac:dyDescent="0.45">
      <c r="A56" t="s">
        <v>149</v>
      </c>
    </row>
    <row r="57" spans="1:5" x14ac:dyDescent="0.45">
      <c r="A57" t="s">
        <v>150</v>
      </c>
    </row>
    <row r="58" spans="1:5" x14ac:dyDescent="0.45">
      <c r="A58" s="48" t="s">
        <v>199</v>
      </c>
    </row>
    <row r="59" spans="1:5" x14ac:dyDescent="0.45">
      <c r="A59" t="s">
        <v>148</v>
      </c>
      <c r="B59" s="47"/>
      <c r="C59" s="47"/>
      <c r="D59" s="47"/>
      <c r="E59" s="47"/>
    </row>
    <row r="60" spans="1:5" x14ac:dyDescent="0.45">
      <c r="A60" t="s">
        <v>149</v>
      </c>
    </row>
    <row r="61" spans="1:5" x14ac:dyDescent="0.45">
      <c r="A61" t="s">
        <v>150</v>
      </c>
    </row>
    <row r="62" spans="1:5" x14ac:dyDescent="0.45">
      <c r="A62" s="48" t="s">
        <v>200</v>
      </c>
    </row>
    <row r="63" spans="1:5" ht="26.25" x14ac:dyDescent="0.45">
      <c r="A63" t="s">
        <v>148</v>
      </c>
      <c r="B63" s="47" t="s">
        <v>213</v>
      </c>
      <c r="C63" s="47"/>
      <c r="D63" s="47"/>
      <c r="E63" s="47"/>
    </row>
    <row r="64" spans="1:5" x14ac:dyDescent="0.45">
      <c r="A64" t="s">
        <v>149</v>
      </c>
    </row>
    <row r="65" spans="1:5" x14ac:dyDescent="0.45">
      <c r="A65" t="s">
        <v>150</v>
      </c>
    </row>
    <row r="66" spans="1:5" x14ac:dyDescent="0.45">
      <c r="A66" s="48" t="s">
        <v>201</v>
      </c>
    </row>
    <row r="67" spans="1:5" x14ac:dyDescent="0.45">
      <c r="A67" t="s">
        <v>148</v>
      </c>
      <c r="B67" s="47"/>
      <c r="C67" s="47"/>
      <c r="D67" s="47"/>
      <c r="E67" s="47"/>
    </row>
    <row r="68" spans="1:5" x14ac:dyDescent="0.45">
      <c r="A68" t="s">
        <v>149</v>
      </c>
    </row>
    <row r="69" spans="1:5" x14ac:dyDescent="0.45">
      <c r="A69" t="s">
        <v>150</v>
      </c>
    </row>
    <row r="70" spans="1:5" x14ac:dyDescent="0.45">
      <c r="A70" s="48" t="s">
        <v>202</v>
      </c>
    </row>
    <row r="71" spans="1:5" x14ac:dyDescent="0.45">
      <c r="A71" t="s">
        <v>148</v>
      </c>
      <c r="B71" s="47"/>
      <c r="C71" s="47"/>
      <c r="D71" s="47"/>
      <c r="E71" s="47"/>
    </row>
    <row r="72" spans="1:5" x14ac:dyDescent="0.45">
      <c r="A72" t="s">
        <v>149</v>
      </c>
    </row>
    <row r="73" spans="1:5" x14ac:dyDescent="0.45">
      <c r="A73" t="s">
        <v>150</v>
      </c>
    </row>
    <row r="74" spans="1:5" x14ac:dyDescent="0.45">
      <c r="A74" s="48" t="s">
        <v>890</v>
      </c>
    </row>
  </sheetData>
  <mergeCells count="1">
    <mergeCell ref="C1:E1"/>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D766-6F39-4451-BC07-8F8D72581270}">
  <dimension ref="A1:Z34"/>
  <sheetViews>
    <sheetView topLeftCell="B1" workbookViewId="0">
      <selection activeCell="K5" sqref="K5"/>
    </sheetView>
  </sheetViews>
  <sheetFormatPr defaultRowHeight="14.25" x14ac:dyDescent="0.45"/>
  <cols>
    <col min="1" max="1" width="12.59765625" customWidth="1"/>
    <col min="2" max="2" width="18.59765625" bestFit="1" customWidth="1"/>
    <col min="3" max="3" width="14.06640625" bestFit="1" customWidth="1"/>
    <col min="4" max="4" width="14" customWidth="1"/>
    <col min="5" max="5" width="11" customWidth="1"/>
    <col min="6" max="6" width="13.59765625" bestFit="1" customWidth="1"/>
    <col min="7" max="7" width="12.59765625" bestFit="1" customWidth="1"/>
    <col min="8" max="8" width="10" bestFit="1" customWidth="1"/>
    <col min="9" max="9" width="8.33203125" bestFit="1" customWidth="1"/>
    <col min="10" max="10" width="11.59765625" customWidth="1"/>
    <col min="11" max="14" width="9.73046875" customWidth="1"/>
    <col min="15" max="19" width="11.59765625" customWidth="1"/>
    <col min="20" max="20" width="12.33203125" bestFit="1" customWidth="1"/>
  </cols>
  <sheetData>
    <row r="1" spans="1:26" ht="33" customHeight="1" x14ac:dyDescent="0.45">
      <c r="A1" s="2"/>
      <c r="B1" s="2"/>
      <c r="C1" s="2"/>
      <c r="D1" s="141" t="s">
        <v>93</v>
      </c>
      <c r="E1" s="142"/>
      <c r="F1" s="143" t="s">
        <v>94</v>
      </c>
      <c r="G1" s="142"/>
      <c r="H1" s="144" t="s">
        <v>95</v>
      </c>
      <c r="I1" s="145"/>
      <c r="J1" s="146"/>
      <c r="K1" s="145" t="s">
        <v>933</v>
      </c>
      <c r="L1" s="145"/>
      <c r="M1" s="145"/>
      <c r="N1" s="145"/>
      <c r="O1" s="3"/>
      <c r="P1" s="3"/>
      <c r="Q1" s="3"/>
      <c r="R1" s="3"/>
      <c r="S1" s="3"/>
    </row>
    <row r="2" spans="1:26" ht="24" x14ac:dyDescent="0.45">
      <c r="A2" s="3"/>
      <c r="B2" s="2"/>
      <c r="C2" s="4" t="s">
        <v>96</v>
      </c>
      <c r="D2" s="5" t="s">
        <v>97</v>
      </c>
      <c r="E2" s="6" t="s">
        <v>98</v>
      </c>
      <c r="F2" s="7" t="s">
        <v>99</v>
      </c>
      <c r="G2" s="84" t="s">
        <v>100</v>
      </c>
      <c r="H2" s="8" t="s">
        <v>101</v>
      </c>
      <c r="I2" s="4" t="s">
        <v>102</v>
      </c>
      <c r="J2" s="6" t="s">
        <v>103</v>
      </c>
      <c r="K2" s="4" t="s">
        <v>101</v>
      </c>
      <c r="L2" s="4" t="s">
        <v>936</v>
      </c>
      <c r="M2" s="4" t="s">
        <v>102</v>
      </c>
      <c r="N2" s="6" t="s">
        <v>103</v>
      </c>
      <c r="O2" s="2"/>
      <c r="P2" s="2"/>
      <c r="Q2" s="2"/>
      <c r="R2" s="2"/>
      <c r="S2" s="2"/>
      <c r="T2" s="2" t="s">
        <v>104</v>
      </c>
      <c r="U2" s="2" t="s">
        <v>105</v>
      </c>
    </row>
    <row r="3" spans="1:26" ht="27" customHeight="1" x14ac:dyDescent="0.45">
      <c r="A3" s="9" t="s">
        <v>106</v>
      </c>
      <c r="B3" s="10"/>
      <c r="C3" s="11">
        <f>SUM(C5:C19)</f>
        <v>5748.5540000000001</v>
      </c>
      <c r="D3" s="12">
        <f>SUM(D5:D19)</f>
        <v>927.05480300000011</v>
      </c>
      <c r="E3" s="13">
        <f>AVERAGE(E5:E19)</f>
        <v>0.31854665231976198</v>
      </c>
      <c r="F3" s="11">
        <f>SUM(F5:F19)</f>
        <v>39.172824098671832</v>
      </c>
      <c r="G3" s="85">
        <f t="shared" ref="G3:N3" si="0">AVERAGE(G5:G19)</f>
        <v>14689.289101246064</v>
      </c>
      <c r="H3" s="14">
        <f t="shared" ca="1" si="0"/>
        <v>1.6473333333333333</v>
      </c>
      <c r="I3" s="34">
        <f t="shared" ca="1" si="0"/>
        <v>0.438</v>
      </c>
      <c r="J3" s="13">
        <f t="shared" ca="1" si="0"/>
        <v>1.2326666666666668</v>
      </c>
      <c r="K3" s="15">
        <f t="shared" ca="1" si="0"/>
        <v>3.7306666666666666</v>
      </c>
      <c r="L3" s="15">
        <f t="shared" ca="1" si="0"/>
        <v>2.5100000000000002</v>
      </c>
      <c r="M3" s="34">
        <f t="shared" ca="1" si="0"/>
        <v>1.5706666666666667</v>
      </c>
      <c r="N3" s="13">
        <f t="shared" ca="1" si="0"/>
        <v>2.5959999999999996</v>
      </c>
      <c r="O3" s="79"/>
      <c r="P3" s="79"/>
      <c r="Q3" s="79"/>
      <c r="R3" s="79"/>
      <c r="S3" s="79"/>
      <c r="T3" s="16">
        <v>525.22114499999998</v>
      </c>
      <c r="U3" s="16">
        <v>643.28309200000001</v>
      </c>
      <c r="V3" t="s">
        <v>110</v>
      </c>
    </row>
    <row r="4" spans="1:26" x14ac:dyDescent="0.45">
      <c r="A4" s="147" t="s">
        <v>107</v>
      </c>
      <c r="B4" s="17"/>
      <c r="C4" s="18"/>
      <c r="D4" s="19"/>
      <c r="E4" s="20"/>
      <c r="F4" s="18"/>
      <c r="G4" s="86">
        <f>AVERAGE(G5:G9)</f>
        <v>19130.131622866531</v>
      </c>
      <c r="H4" s="22"/>
      <c r="I4" s="35"/>
      <c r="J4" s="20"/>
      <c r="K4" s="23"/>
      <c r="L4" s="23"/>
      <c r="M4" s="35"/>
      <c r="N4" s="20"/>
      <c r="O4" s="36"/>
      <c r="P4" s="36"/>
      <c r="Q4" s="36"/>
      <c r="R4" s="36"/>
      <c r="S4" s="36"/>
    </row>
    <row r="5" spans="1:26" x14ac:dyDescent="0.45">
      <c r="A5" s="148"/>
      <c r="B5" s="2" t="s">
        <v>67</v>
      </c>
      <c r="C5" s="24">
        <f>GHSL!C2</f>
        <v>144.81299999999999</v>
      </c>
      <c r="D5" s="25">
        <f>GHSL!$X2/1000000</f>
        <v>56.194907000000001</v>
      </c>
      <c r="E5" s="26">
        <f>D5/C5</f>
        <v>0.38805153542844911</v>
      </c>
      <c r="F5" s="24">
        <f>GHSL!$N2/1000000</f>
        <v>2.5416130048979713</v>
      </c>
      <c r="G5" s="87">
        <f>GHSL!$N2/C5</f>
        <v>17551.000289324656</v>
      </c>
      <c r="H5" s="36">
        <f t="shared" ref="H5:N19" ca="1" si="1">ROUND(AVERAGE(INDIRECT(_xlfn.CONCAT($B$20,"!",LEFT(H$20,2),$V5,RIGHT(H$20,3),$V5),TRUE)),2)</f>
        <v>0.9</v>
      </c>
      <c r="I5" s="36">
        <f t="shared" ca="1" si="1"/>
        <v>0.04</v>
      </c>
      <c r="J5" s="26">
        <f t="shared" ca="1" si="1"/>
        <v>0.32</v>
      </c>
      <c r="K5" s="36">
        <f ca="1">ROUND(AVERAGE(INDIRECT(_xlfn.CONCAT($B$20,"!",LEFT(K$20,2),$V5,RIGHT(K$20,3),$V5),TRUE)),2)</f>
        <v>3.13</v>
      </c>
      <c r="L5" s="36">
        <f t="shared" ca="1" si="1"/>
        <v>0.85</v>
      </c>
      <c r="M5" s="36">
        <f t="shared" ca="1" si="1"/>
        <v>1.07</v>
      </c>
      <c r="N5" s="26">
        <f t="shared" ca="1" si="1"/>
        <v>1.33</v>
      </c>
      <c r="O5" s="36"/>
      <c r="P5" s="36"/>
      <c r="Q5" s="36"/>
      <c r="R5" s="36"/>
      <c r="S5" s="36"/>
      <c r="V5">
        <v>2</v>
      </c>
      <c r="X5" t="str">
        <f>_xlfn.CONCAT("raw!BC",V5,":BD",V5)</f>
        <v>raw!BC2:BD2</v>
      </c>
      <c r="Z5" t="str">
        <f t="shared" ref="Z5:Z8" si="2">_xlfn.CONCAT("raw!AV",$V5,":BD",$V5)</f>
        <v>raw!AV2:BD2</v>
      </c>
    </row>
    <row r="6" spans="1:26" x14ac:dyDescent="0.45">
      <c r="A6" s="148"/>
      <c r="B6" s="2" t="s">
        <v>69</v>
      </c>
      <c r="C6" s="24">
        <f>GHSL!C3</f>
        <v>184.65799999999999</v>
      </c>
      <c r="D6" s="25">
        <f>GHSL!$X3/1000000</f>
        <v>66.253606000000005</v>
      </c>
      <c r="E6" s="26">
        <f t="shared" ref="E6:E19" si="3">D6/C6</f>
        <v>0.35879087827226552</v>
      </c>
      <c r="F6" s="24">
        <f>GHSL!$N3/1000000</f>
        <v>3.343131770456385</v>
      </c>
      <c r="G6" s="87">
        <f>GHSL!$N3/C6</f>
        <v>18104.451312460795</v>
      </c>
      <c r="H6" s="36">
        <f t="shared" ca="1" si="1"/>
        <v>0.96</v>
      </c>
      <c r="I6" s="36">
        <f t="shared" ca="1" si="1"/>
        <v>0.12</v>
      </c>
      <c r="J6" s="26">
        <f t="shared" ca="1" si="1"/>
        <v>0.43</v>
      </c>
      <c r="K6" s="36">
        <f t="shared" ca="1" si="1"/>
        <v>3.13</v>
      </c>
      <c r="L6" s="36">
        <f t="shared" ca="1" si="1"/>
        <v>0.8</v>
      </c>
      <c r="M6" s="36">
        <f t="shared" ca="1" si="1"/>
        <v>1.07</v>
      </c>
      <c r="N6" s="26">
        <f t="shared" ca="1" si="1"/>
        <v>1.3</v>
      </c>
      <c r="O6" s="36"/>
      <c r="P6" s="36"/>
      <c r="Q6" s="36"/>
      <c r="R6" s="36"/>
      <c r="S6" s="36"/>
      <c r="V6">
        <v>3</v>
      </c>
      <c r="X6" t="str">
        <f t="shared" ref="X6:X19" si="4">_xlfn.CONCAT("raw!BC",V6,":BD",V6)</f>
        <v>raw!BC3:BD3</v>
      </c>
      <c r="Z6" t="str">
        <f t="shared" si="2"/>
        <v>raw!AV3:BD3</v>
      </c>
    </row>
    <row r="7" spans="1:26" x14ac:dyDescent="0.45">
      <c r="A7" s="148"/>
      <c r="B7" s="2" t="s">
        <v>71</v>
      </c>
      <c r="C7" s="24">
        <f>GHSL!C4</f>
        <v>47.887</v>
      </c>
      <c r="D7" s="25">
        <f>GHSL!$X4/1000000</f>
        <v>18.722781999999999</v>
      </c>
      <c r="E7" s="26">
        <f t="shared" si="3"/>
        <v>0.39097838661849771</v>
      </c>
      <c r="F7" s="24">
        <f>GHSL!$N4/1000000</f>
        <v>1.030501630153386</v>
      </c>
      <c r="G7" s="87">
        <f>GHSL!$N4/C7</f>
        <v>21519.444320032286</v>
      </c>
      <c r="H7" s="36">
        <f t="shared" ca="1" si="1"/>
        <v>0.77</v>
      </c>
      <c r="I7" s="36">
        <f t="shared" ca="1" si="1"/>
        <v>0.03</v>
      </c>
      <c r="J7" s="26">
        <f t="shared" ca="1" si="1"/>
        <v>0.19</v>
      </c>
      <c r="K7" s="36">
        <f t="shared" ca="1" si="1"/>
        <v>2.99</v>
      </c>
      <c r="L7" s="36">
        <f t="shared" ca="1" si="1"/>
        <v>-0.06</v>
      </c>
      <c r="M7" s="36">
        <f t="shared" ca="1" si="1"/>
        <v>0.99</v>
      </c>
      <c r="N7" s="26">
        <f t="shared" ca="1" si="1"/>
        <v>0.84</v>
      </c>
      <c r="O7" s="36"/>
      <c r="P7" s="36"/>
      <c r="Q7" s="36"/>
      <c r="R7" s="36"/>
      <c r="S7" s="36"/>
      <c r="V7">
        <v>4</v>
      </c>
      <c r="X7" t="str">
        <f t="shared" si="4"/>
        <v>raw!BC4:BD4</v>
      </c>
      <c r="Z7" t="str">
        <f t="shared" si="2"/>
        <v>raw!AV4:BD4</v>
      </c>
    </row>
    <row r="8" spans="1:26" x14ac:dyDescent="0.45">
      <c r="A8" s="148"/>
      <c r="B8" s="2" t="s">
        <v>73</v>
      </c>
      <c r="C8" s="24">
        <f>GHSL!C5</f>
        <v>125.47</v>
      </c>
      <c r="D8" s="25">
        <f>GHSL!$X5/1000000</f>
        <v>48.004584000000001</v>
      </c>
      <c r="E8" s="26">
        <f t="shared" si="3"/>
        <v>0.38259810313222287</v>
      </c>
      <c r="F8" s="24">
        <v>3.002816884173642</v>
      </c>
      <c r="G8" s="87">
        <f>GHSL!$N5/C8</f>
        <v>23932.548690313557</v>
      </c>
      <c r="H8" s="36">
        <f t="shared" ca="1" si="1"/>
        <v>0.93</v>
      </c>
      <c r="I8" s="36">
        <f t="shared" ca="1" si="1"/>
        <v>0.08</v>
      </c>
      <c r="J8" s="26">
        <f t="shared" ca="1" si="1"/>
        <v>0.4</v>
      </c>
      <c r="K8" s="36">
        <f t="shared" ca="1" si="1"/>
        <v>3.15</v>
      </c>
      <c r="L8" s="36">
        <f t="shared" ca="1" si="1"/>
        <v>1.1299999999999999</v>
      </c>
      <c r="M8" s="36">
        <f t="shared" ca="1" si="1"/>
        <v>1.08</v>
      </c>
      <c r="N8" s="26">
        <f t="shared" ca="1" si="1"/>
        <v>1.47</v>
      </c>
      <c r="O8" s="36"/>
      <c r="P8" s="36"/>
      <c r="Q8" s="36"/>
      <c r="R8" s="36"/>
      <c r="S8" s="36"/>
      <c r="V8">
        <v>5</v>
      </c>
      <c r="X8" t="str">
        <f t="shared" si="4"/>
        <v>raw!BC5:BD5</v>
      </c>
      <c r="Z8" t="str">
        <f t="shared" si="2"/>
        <v>raw!AV5:BD5</v>
      </c>
    </row>
    <row r="9" spans="1:26" x14ac:dyDescent="0.45">
      <c r="A9" s="149"/>
      <c r="B9" s="4" t="s">
        <v>75</v>
      </c>
      <c r="C9" s="28">
        <f>GHSL!C6</f>
        <v>140.26400000000001</v>
      </c>
      <c r="D9" s="29">
        <f>GHSL!$X6/1000000</f>
        <v>45.598996</v>
      </c>
      <c r="E9" s="30">
        <f t="shared" si="3"/>
        <v>0.32509407973535615</v>
      </c>
      <c r="F9" s="28">
        <v>2.0398892986727719</v>
      </c>
      <c r="G9" s="88">
        <f>GHSL!$N6/C9</f>
        <v>14543.213502201363</v>
      </c>
      <c r="H9" s="36">
        <f t="shared" ca="1" si="1"/>
        <v>1.1000000000000001</v>
      </c>
      <c r="I9" s="37">
        <f t="shared" ca="1" si="1"/>
        <v>0.27</v>
      </c>
      <c r="J9" s="30">
        <f t="shared" ca="1" si="1"/>
        <v>0.73</v>
      </c>
      <c r="K9" s="37">
        <f t="shared" ca="1" si="1"/>
        <v>3.12</v>
      </c>
      <c r="L9" s="37">
        <f t="shared" ca="1" si="1"/>
        <v>0.79</v>
      </c>
      <c r="M9" s="37">
        <f t="shared" ca="1" si="1"/>
        <v>1.05</v>
      </c>
      <c r="N9" s="30">
        <f t="shared" ca="1" si="1"/>
        <v>1.3</v>
      </c>
      <c r="O9" s="36"/>
      <c r="P9" s="36"/>
      <c r="Q9" s="36"/>
      <c r="R9" s="36"/>
      <c r="S9" s="36"/>
      <c r="V9">
        <v>6</v>
      </c>
      <c r="X9" t="str">
        <f t="shared" si="4"/>
        <v>raw!BC6:BD6</v>
      </c>
      <c r="Z9" t="str">
        <f>_xlfn.CONCAT("raw!AV",$V9,":BD",$V9)</f>
        <v>raw!AV6:BD6</v>
      </c>
    </row>
    <row r="10" spans="1:26" x14ac:dyDescent="0.45">
      <c r="A10" s="138" t="s">
        <v>108</v>
      </c>
      <c r="B10" s="17"/>
      <c r="C10" s="21"/>
      <c r="D10" s="32"/>
      <c r="E10" s="33"/>
      <c r="F10" s="21"/>
      <c r="G10" s="86"/>
      <c r="H10" s="22">
        <f t="shared" ca="1" si="1"/>
        <v>1.65</v>
      </c>
      <c r="I10" s="35">
        <f t="shared" ca="1" si="1"/>
        <v>0.44</v>
      </c>
      <c r="J10" s="33">
        <f t="shared" ca="1" si="1"/>
        <v>1.23</v>
      </c>
      <c r="K10" s="35">
        <f t="shared" ca="1" si="1"/>
        <v>3.73</v>
      </c>
      <c r="L10" s="35">
        <f t="shared" ca="1" si="1"/>
        <v>2.5099999999999998</v>
      </c>
      <c r="M10" s="35">
        <f t="shared" ca="1" si="1"/>
        <v>1.57</v>
      </c>
      <c r="N10" s="33">
        <f t="shared" ca="1" si="1"/>
        <v>2.6</v>
      </c>
      <c r="O10" s="36"/>
      <c r="P10" s="36"/>
      <c r="Q10" s="36"/>
      <c r="R10" s="36"/>
      <c r="S10" s="36"/>
    </row>
    <row r="11" spans="1:26" ht="14.55" customHeight="1" x14ac:dyDescent="0.45">
      <c r="A11" s="139"/>
      <c r="B11" s="2" t="s">
        <v>81</v>
      </c>
      <c r="C11" s="24">
        <f>GHSL!C9</f>
        <v>111.74</v>
      </c>
      <c r="D11" s="25">
        <f>GHSL!$X9/1000000</f>
        <v>28.748272</v>
      </c>
      <c r="E11" s="26">
        <f t="shared" si="3"/>
        <v>0.25727825308752461</v>
      </c>
      <c r="F11" s="24">
        <f>GHSL!$N9/1000000</f>
        <v>1.3592904836495749</v>
      </c>
      <c r="G11" s="87">
        <f>GHSL!$N9/C11</f>
        <v>12164.76180105222</v>
      </c>
      <c r="H11" s="27">
        <f t="shared" ca="1" si="1"/>
        <v>1.84</v>
      </c>
      <c r="I11" s="36">
        <f t="shared" ca="1" si="1"/>
        <v>0.41</v>
      </c>
      <c r="J11" s="26">
        <f t="shared" ca="1" si="1"/>
        <v>1.7</v>
      </c>
      <c r="K11" s="36">
        <f t="shared" ca="1" si="1"/>
        <v>0.94</v>
      </c>
      <c r="L11" s="36">
        <f t="shared" ca="1" si="1"/>
        <v>2.15</v>
      </c>
      <c r="M11" s="36">
        <f t="shared" ca="1" si="1"/>
        <v>1.56</v>
      </c>
      <c r="N11" s="26">
        <f t="shared" ca="1" si="1"/>
        <v>1.76</v>
      </c>
      <c r="O11" s="36"/>
      <c r="P11" s="36"/>
      <c r="Q11" s="36"/>
      <c r="R11" s="36"/>
      <c r="S11" s="36"/>
      <c r="V11">
        <v>9</v>
      </c>
      <c r="X11" t="str">
        <f t="shared" si="4"/>
        <v>raw!BC9:BD9</v>
      </c>
      <c r="Z11" t="str">
        <f t="shared" ref="Z11:Z19" si="5">_xlfn.CONCAT("raw!AV",$V11,":BD",$V11)</f>
        <v>raw!AV9:BD9</v>
      </c>
    </row>
    <row r="12" spans="1:26" x14ac:dyDescent="0.45">
      <c r="A12" s="139"/>
      <c r="B12" s="2" t="s">
        <v>83</v>
      </c>
      <c r="C12" s="24">
        <f>GHSL!C10</f>
        <v>214.09200000000001</v>
      </c>
      <c r="D12" s="25">
        <f>GHSL!$X10/1000000</f>
        <v>73.476895999999996</v>
      </c>
      <c r="E12" s="26">
        <f t="shared" si="3"/>
        <v>0.34320243633578085</v>
      </c>
      <c r="F12" s="24">
        <f>GHSL!$N10/1000000</f>
        <v>3.6937439953098217</v>
      </c>
      <c r="G12" s="87">
        <f>GHSL!$N10/C12</f>
        <v>17253.068752264549</v>
      </c>
      <c r="H12" s="27">
        <f t="shared" ca="1" si="1"/>
        <v>1.54</v>
      </c>
      <c r="I12" s="36">
        <f t="shared" ca="1" si="1"/>
        <v>0.3</v>
      </c>
      <c r="J12" s="26">
        <f t="shared" ca="1" si="1"/>
        <v>1.43</v>
      </c>
      <c r="K12" s="36">
        <f t="shared" ca="1" si="1"/>
        <v>9.75</v>
      </c>
      <c r="L12" s="36">
        <f t="shared" ca="1" si="1"/>
        <v>4.9800000000000004</v>
      </c>
      <c r="M12" s="36">
        <f t="shared" ca="1" si="1"/>
        <v>2.68</v>
      </c>
      <c r="N12" s="26">
        <f t="shared" ca="1" si="1"/>
        <v>6.09</v>
      </c>
      <c r="O12" s="36"/>
      <c r="P12" s="36"/>
      <c r="Q12" s="36"/>
      <c r="R12" s="36"/>
      <c r="S12" s="36"/>
      <c r="V12">
        <v>10</v>
      </c>
      <c r="X12" t="str">
        <f t="shared" si="4"/>
        <v>raw!BC10:BD10</v>
      </c>
      <c r="Z12" t="str">
        <f t="shared" si="5"/>
        <v>raw!AV10:BD10</v>
      </c>
    </row>
    <row r="13" spans="1:26" x14ac:dyDescent="0.45">
      <c r="A13" s="139"/>
      <c r="B13" s="2" t="s">
        <v>85</v>
      </c>
      <c r="C13" s="24">
        <f>GHSL!C11</f>
        <v>199.732</v>
      </c>
      <c r="D13" s="25">
        <f>GHSL!$X11/1000000</f>
        <v>60.768568000000002</v>
      </c>
      <c r="E13" s="26">
        <f t="shared" si="3"/>
        <v>0.30425053571786193</v>
      </c>
      <c r="F13" s="24">
        <f>GHSL!$N11/1000000</f>
        <v>3.2256760086167904</v>
      </c>
      <c r="G13" s="87">
        <f>GHSL!$N11/C13</f>
        <v>16150.021071319519</v>
      </c>
      <c r="H13" s="27">
        <f t="shared" ca="1" si="1"/>
        <v>1.9</v>
      </c>
      <c r="I13" s="36">
        <f t="shared" ca="1" si="1"/>
        <v>0.43</v>
      </c>
      <c r="J13" s="26">
        <f t="shared" ca="1" si="1"/>
        <v>1.58</v>
      </c>
      <c r="K13" s="36">
        <f t="shared" ca="1" si="1"/>
        <v>5.55</v>
      </c>
      <c r="L13" s="36">
        <f t="shared" ca="1" si="1"/>
        <v>4.51</v>
      </c>
      <c r="M13" s="36">
        <f t="shared" ca="1" si="1"/>
        <v>3.29</v>
      </c>
      <c r="N13" s="26">
        <f t="shared" ca="1" si="1"/>
        <v>4.57</v>
      </c>
      <c r="O13" s="36"/>
      <c r="P13" s="36"/>
      <c r="Q13" s="36"/>
      <c r="R13" s="36"/>
      <c r="S13" s="36"/>
      <c r="V13">
        <v>11</v>
      </c>
      <c r="X13" t="str">
        <f t="shared" si="4"/>
        <v>raw!BC11:BD11</v>
      </c>
      <c r="Z13" t="str">
        <f t="shared" si="5"/>
        <v>raw!AV11:BD11</v>
      </c>
    </row>
    <row r="14" spans="1:26" x14ac:dyDescent="0.45">
      <c r="A14" s="139"/>
      <c r="B14" s="2" t="s">
        <v>89</v>
      </c>
      <c r="C14" s="24">
        <f>GHSL!C13</f>
        <v>181.46700000000001</v>
      </c>
      <c r="D14" s="25">
        <f>GHSL!$X13/1000000</f>
        <v>54.506127999999997</v>
      </c>
      <c r="E14" s="26">
        <f>D14/C14</f>
        <v>0.30036385678938865</v>
      </c>
      <c r="F14" s="24">
        <f>GHSL!$N13/1000000</f>
        <v>2.6003941284611343</v>
      </c>
      <c r="G14" s="87">
        <f>GHSL!$N13/C14</f>
        <v>14329.845803706095</v>
      </c>
      <c r="H14" s="27">
        <f t="shared" ca="1" si="1"/>
        <v>1.21</v>
      </c>
      <c r="I14" s="36">
        <f t="shared" ca="1" si="1"/>
        <v>0.22</v>
      </c>
      <c r="J14" s="26">
        <f t="shared" ca="1" si="1"/>
        <v>0.66</v>
      </c>
      <c r="K14" s="36">
        <f t="shared" ca="1" si="1"/>
        <v>4.04</v>
      </c>
      <c r="L14" s="36">
        <f t="shared" ca="1" si="1"/>
        <v>3.05</v>
      </c>
      <c r="M14" s="36">
        <f t="shared" ca="1" si="1"/>
        <v>2.13</v>
      </c>
      <c r="N14" s="26">
        <f t="shared" ca="1" si="1"/>
        <v>3.15</v>
      </c>
      <c r="O14" s="36"/>
      <c r="P14" s="36"/>
      <c r="Q14" s="36"/>
      <c r="R14" s="36"/>
      <c r="S14" s="36"/>
      <c r="V14">
        <v>13</v>
      </c>
      <c r="X14" t="str">
        <f t="shared" si="4"/>
        <v>raw!BC13:BD13</v>
      </c>
      <c r="Z14" t="str">
        <f t="shared" si="5"/>
        <v>raw!AV13:BD13</v>
      </c>
    </row>
    <row r="15" spans="1:26" x14ac:dyDescent="0.45">
      <c r="A15" s="140"/>
      <c r="B15" s="4" t="s">
        <v>91</v>
      </c>
      <c r="C15" s="28">
        <f>GHSL!C14</f>
        <v>164.39599999999999</v>
      </c>
      <c r="D15" s="29">
        <f>GHSL!$X14/1000000</f>
        <v>49.953710000000001</v>
      </c>
      <c r="E15" s="30">
        <f>D15/C15</f>
        <v>0.3038620769361785</v>
      </c>
      <c r="F15" s="28">
        <f>GHSL!$N14/1000000</f>
        <v>1.897522392946646</v>
      </c>
      <c r="G15" s="88">
        <f>GHSL!$N14/C15</f>
        <v>11542.3878497448</v>
      </c>
      <c r="H15" s="31">
        <f t="shared" ca="1" si="1"/>
        <v>1.53</v>
      </c>
      <c r="I15" s="37">
        <f t="shared" ca="1" si="1"/>
        <v>0.32</v>
      </c>
      <c r="J15" s="30">
        <f t="shared" ca="1" si="1"/>
        <v>1.1399999999999999</v>
      </c>
      <c r="K15" s="37">
        <f t="shared" ca="1" si="1"/>
        <v>3.43</v>
      </c>
      <c r="L15" s="37">
        <f t="shared" ca="1" si="1"/>
        <v>3.44</v>
      </c>
      <c r="M15" s="37">
        <f t="shared" ca="1" si="1"/>
        <v>1.71</v>
      </c>
      <c r="N15" s="30">
        <f t="shared" ca="1" si="1"/>
        <v>3.05</v>
      </c>
      <c r="O15" s="36"/>
      <c r="P15" s="36"/>
      <c r="Q15" s="36"/>
      <c r="R15" s="36"/>
      <c r="S15" s="36"/>
      <c r="V15">
        <v>14</v>
      </c>
      <c r="X15" t="str">
        <f t="shared" si="4"/>
        <v>raw!BC14:BD14</v>
      </c>
      <c r="Z15" t="str">
        <f t="shared" si="5"/>
        <v>raw!AV14:BD14</v>
      </c>
    </row>
    <row r="16" spans="1:26" x14ac:dyDescent="0.45">
      <c r="A16" s="138" t="s">
        <v>109</v>
      </c>
      <c r="B16" s="2"/>
      <c r="C16" s="24"/>
      <c r="D16" s="25"/>
      <c r="E16" s="26"/>
      <c r="F16" s="24"/>
      <c r="G16" s="87"/>
      <c r="H16" s="27">
        <f t="shared" ca="1" si="1"/>
        <v>1.65</v>
      </c>
      <c r="I16" s="36">
        <f t="shared" ca="1" si="1"/>
        <v>0.44</v>
      </c>
      <c r="J16" s="26">
        <f t="shared" ca="1" si="1"/>
        <v>1.23</v>
      </c>
      <c r="K16" s="36">
        <f t="shared" ca="1" si="1"/>
        <v>3.73</v>
      </c>
      <c r="L16" s="36">
        <f t="shared" ca="1" si="1"/>
        <v>2.5099999999999998</v>
      </c>
      <c r="M16" s="36">
        <f t="shared" ca="1" si="1"/>
        <v>1.57</v>
      </c>
      <c r="N16" s="26">
        <f t="shared" ca="1" si="1"/>
        <v>2.6</v>
      </c>
      <c r="O16" s="36"/>
      <c r="P16" s="36"/>
      <c r="Q16" s="36"/>
      <c r="R16" s="36"/>
      <c r="S16" s="36"/>
    </row>
    <row r="17" spans="1:26" ht="14.55" customHeight="1" x14ac:dyDescent="0.45">
      <c r="A17" s="139"/>
      <c r="B17" s="2" t="s">
        <v>77</v>
      </c>
      <c r="C17" s="24">
        <f>GHSL!C7</f>
        <v>2993.32</v>
      </c>
      <c r="D17" s="25">
        <f>GHSL!$X7/1000000</f>
        <v>178.99096599999999</v>
      </c>
      <c r="E17" s="26">
        <f>D17/C17</f>
        <v>5.979680288108187E-2</v>
      </c>
      <c r="F17" s="24">
        <f>GHSL!$N7/1000000</f>
        <v>6.1805932536711916</v>
      </c>
      <c r="G17" s="87">
        <f>GHSL!$N7/C17</f>
        <v>2064.7953622302966</v>
      </c>
      <c r="H17" s="27">
        <f t="shared" ca="1" si="1"/>
        <v>3.73</v>
      </c>
      <c r="I17" s="36">
        <f t="shared" ca="1" si="1"/>
        <v>1.1399999999999999</v>
      </c>
      <c r="J17" s="26">
        <f t="shared" ca="1" si="1"/>
        <v>3.15</v>
      </c>
      <c r="K17" s="36">
        <f t="shared" ca="1" si="1"/>
        <v>2.7</v>
      </c>
      <c r="L17" s="36">
        <f t="shared" ca="1" si="1"/>
        <v>2.85</v>
      </c>
      <c r="M17" s="36">
        <f t="shared" ca="1" si="1"/>
        <v>1</v>
      </c>
      <c r="N17" s="26">
        <f t="shared" ca="1" si="1"/>
        <v>2.39</v>
      </c>
      <c r="O17" s="36"/>
      <c r="P17" s="36"/>
      <c r="Q17" s="36"/>
      <c r="R17" s="36"/>
      <c r="S17" s="36"/>
      <c r="V17">
        <v>7</v>
      </c>
      <c r="X17" t="str">
        <f t="shared" si="4"/>
        <v>raw!BC7:BD7</v>
      </c>
      <c r="Z17" t="str">
        <f t="shared" si="5"/>
        <v>raw!AV7:BD7</v>
      </c>
    </row>
    <row r="18" spans="1:26" x14ac:dyDescent="0.45">
      <c r="A18" s="139"/>
      <c r="B18" s="2" t="s">
        <v>79</v>
      </c>
      <c r="C18" s="24">
        <f>GHSL!C10</f>
        <v>214.09200000000001</v>
      </c>
      <c r="D18" s="25">
        <f>GHSL!$X8/1000000</f>
        <v>131.83738099999999</v>
      </c>
      <c r="E18" s="26">
        <f>D18/C18</f>
        <v>0.61579779253778744</v>
      </c>
      <c r="F18" s="24">
        <f>GHSL!$N8/1000000</f>
        <v>3.7225789052387159</v>
      </c>
      <c r="G18" s="87">
        <f>GHSL!$N8/C18</f>
        <v>17387.753420205874</v>
      </c>
      <c r="H18" s="27">
        <f t="shared" ca="1" si="1"/>
        <v>2.15</v>
      </c>
      <c r="I18" s="36">
        <f t="shared" ca="1" si="1"/>
        <v>1.33</v>
      </c>
      <c r="J18" s="26">
        <f t="shared" ca="1" si="1"/>
        <v>2.19</v>
      </c>
      <c r="K18" s="36">
        <f t="shared" ca="1" si="1"/>
        <v>2.93</v>
      </c>
      <c r="L18" s="36">
        <f t="shared" ca="1" si="1"/>
        <v>4.26</v>
      </c>
      <c r="M18" s="36">
        <f t="shared" ca="1" si="1"/>
        <v>1.06</v>
      </c>
      <c r="N18" s="26">
        <f t="shared" ca="1" si="1"/>
        <v>3.16</v>
      </c>
      <c r="O18" s="36"/>
      <c r="P18" s="36"/>
      <c r="Q18" s="36"/>
      <c r="R18" s="36"/>
      <c r="S18" s="36"/>
      <c r="V18">
        <v>8</v>
      </c>
      <c r="X18" t="str">
        <f t="shared" si="4"/>
        <v>raw!BC8:BD8</v>
      </c>
      <c r="Z18" t="str">
        <f t="shared" si="5"/>
        <v>raw!AV8:BD8</v>
      </c>
    </row>
    <row r="19" spans="1:26" x14ac:dyDescent="0.45">
      <c r="A19" s="140"/>
      <c r="B19" s="4" t="s">
        <v>87</v>
      </c>
      <c r="C19" s="28">
        <f>GHSL!C12</f>
        <v>1026.623</v>
      </c>
      <c r="D19" s="29">
        <f>GHSL!$X12/1000000</f>
        <v>113.998007</v>
      </c>
      <c r="E19" s="30">
        <f t="shared" si="3"/>
        <v>0.11104174268451028</v>
      </c>
      <c r="F19" s="28">
        <f>GHSL!$N12/1000000</f>
        <v>4.5350723424238035</v>
      </c>
      <c r="G19" s="88">
        <f>GHSL!$N12/C19</f>
        <v>4417.466141342833</v>
      </c>
      <c r="H19" s="31">
        <f t="shared" ca="1" si="1"/>
        <v>2.85</v>
      </c>
      <c r="I19" s="37">
        <f t="shared" ca="1" si="1"/>
        <v>1</v>
      </c>
      <c r="J19" s="30">
        <f t="shared" ca="1" si="1"/>
        <v>2.11</v>
      </c>
      <c r="K19" s="37">
        <f t="shared" ca="1" si="1"/>
        <v>3.64</v>
      </c>
      <c r="L19" s="37">
        <f t="shared" ca="1" si="1"/>
        <v>3.88</v>
      </c>
      <c r="M19" s="37">
        <f t="shared" ca="1" si="1"/>
        <v>1.73</v>
      </c>
      <c r="N19" s="30">
        <f t="shared" ca="1" si="1"/>
        <v>3.33</v>
      </c>
      <c r="O19" s="36"/>
      <c r="P19" s="36"/>
      <c r="Q19" s="36"/>
      <c r="R19" s="36"/>
      <c r="S19" s="36"/>
      <c r="V19">
        <v>12</v>
      </c>
      <c r="X19" t="str">
        <f t="shared" si="4"/>
        <v>raw!BC12:BD12</v>
      </c>
      <c r="Z19" t="str">
        <f t="shared" si="5"/>
        <v>raw!AV12:BD12</v>
      </c>
    </row>
    <row r="20" spans="1:26" x14ac:dyDescent="0.45">
      <c r="A20" t="s">
        <v>111</v>
      </c>
      <c r="B20" t="s">
        <v>934</v>
      </c>
      <c r="C20" t="s">
        <v>116</v>
      </c>
      <c r="D20" t="s">
        <v>115</v>
      </c>
      <c r="F20" t="s">
        <v>117</v>
      </c>
      <c r="H20" t="s">
        <v>112</v>
      </c>
      <c r="I20" t="s">
        <v>113</v>
      </c>
      <c r="J20" t="s">
        <v>114</v>
      </c>
      <c r="K20" t="s">
        <v>935</v>
      </c>
      <c r="L20" t="s">
        <v>937</v>
      </c>
      <c r="M20" t="s">
        <v>938</v>
      </c>
      <c r="N20" t="s">
        <v>939</v>
      </c>
    </row>
    <row r="26" spans="1:26" x14ac:dyDescent="0.45">
      <c r="A26" t="s">
        <v>118</v>
      </c>
      <c r="B26" t="s">
        <v>127</v>
      </c>
      <c r="D26" t="s">
        <v>128</v>
      </c>
    </row>
    <row r="27" spans="1:26" x14ac:dyDescent="0.45">
      <c r="A27" t="s">
        <v>126</v>
      </c>
      <c r="B27">
        <f>4550.01*1000</f>
        <v>4550010</v>
      </c>
      <c r="C27" s="38">
        <f>B27/B34</f>
        <v>0.22159253284481134</v>
      </c>
      <c r="D27" s="40">
        <v>32281430</v>
      </c>
      <c r="E27" s="41">
        <f>D27/D34</f>
        <v>0.11327865152778357</v>
      </c>
    </row>
    <row r="28" spans="1:26" x14ac:dyDescent="0.45">
      <c r="A28" t="s">
        <v>119</v>
      </c>
      <c r="B28">
        <v>4520134</v>
      </c>
    </row>
    <row r="29" spans="1:26" x14ac:dyDescent="0.45">
      <c r="A29" t="s">
        <v>120</v>
      </c>
      <c r="B29">
        <v>11713356</v>
      </c>
    </row>
    <row r="30" spans="1:26" x14ac:dyDescent="0.45">
      <c r="A30" t="s">
        <v>121</v>
      </c>
      <c r="B30">
        <v>569274</v>
      </c>
    </row>
    <row r="31" spans="1:26" x14ac:dyDescent="0.45">
      <c r="A31" t="s">
        <v>122</v>
      </c>
      <c r="B31">
        <v>1743461</v>
      </c>
    </row>
    <row r="32" spans="1:26" x14ac:dyDescent="0.45">
      <c r="A32" t="s">
        <v>123</v>
      </c>
      <c r="B32">
        <v>1457789</v>
      </c>
    </row>
    <row r="33" spans="1:4" x14ac:dyDescent="0.45">
      <c r="A33" t="s">
        <v>124</v>
      </c>
      <c r="B33">
        <v>529214</v>
      </c>
    </row>
    <row r="34" spans="1:4" ht="16.5" x14ac:dyDescent="0.6">
      <c r="A34" t="s">
        <v>125</v>
      </c>
      <c r="B34">
        <f>SUM(B28:B33)</f>
        <v>20533228</v>
      </c>
      <c r="D34" s="39">
        <v>284973643</v>
      </c>
    </row>
  </sheetData>
  <mergeCells count="7">
    <mergeCell ref="A16:A19"/>
    <mergeCell ref="D1:E1"/>
    <mergeCell ref="F1:G1"/>
    <mergeCell ref="H1:J1"/>
    <mergeCell ref="K1:N1"/>
    <mergeCell ref="A4:A9"/>
    <mergeCell ref="A10:A15"/>
  </mergeCells>
  <pageMargins left="0.7" right="0.7" top="0.75" bottom="0.75" header="0.3" footer="0.3"/>
  <ignoredErrors>
    <ignoredError sqref="E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4"/>
  <sheetViews>
    <sheetView workbookViewId="0">
      <pane xSplit="1" ySplit="1" topLeftCell="D2" activePane="bottomRight" state="frozen"/>
      <selection pane="topRight" activeCell="B1" sqref="B1"/>
      <selection pane="bottomLeft" activeCell="A2" sqref="A2"/>
      <selection pane="bottomRight" activeCell="J1" sqref="J1"/>
    </sheetView>
  </sheetViews>
  <sheetFormatPr defaultRowHeight="14.25" x14ac:dyDescent="0.45"/>
  <cols>
    <col min="1" max="1" width="19.796875" bestFit="1" customWidth="1"/>
    <col min="2" max="2" width="11.06640625" customWidth="1"/>
    <col min="3" max="3" width="21.796875" bestFit="1" customWidth="1"/>
    <col min="4" max="14" width="15.796875" bestFit="1" customWidth="1"/>
    <col min="15" max="25" width="12.73046875" bestFit="1" customWidth="1"/>
    <col min="26" max="26" width="10.73046875" customWidth="1"/>
    <col min="27" max="27" width="17.265625" bestFit="1" customWidth="1"/>
    <col min="28" max="28" width="16.265625" bestFit="1" customWidth="1"/>
    <col min="29" max="29" width="17.265625" bestFit="1" customWidth="1"/>
    <col min="30" max="30" width="16.265625" bestFit="1" customWidth="1"/>
    <col min="31" max="31" width="17.265625" bestFit="1" customWidth="1"/>
    <col min="32" max="32" width="16.265625" bestFit="1" customWidth="1"/>
    <col min="33" max="33" width="17.265625" bestFit="1" customWidth="1"/>
    <col min="34" max="34" width="16.265625" bestFit="1" customWidth="1"/>
    <col min="35" max="35" width="17.265625" bestFit="1" customWidth="1"/>
    <col min="36" max="36" width="16.265625" bestFit="1" customWidth="1"/>
    <col min="37" max="37" width="17.265625" bestFit="1" customWidth="1"/>
    <col min="38" max="38" width="16.265625" bestFit="1" customWidth="1"/>
    <col min="39" max="39" width="17.265625" bestFit="1" customWidth="1"/>
    <col min="40" max="40" width="16.265625" bestFit="1" customWidth="1"/>
    <col min="41" max="41" width="17.265625" bestFit="1" customWidth="1"/>
    <col min="42" max="42" width="16.265625" bestFit="1" customWidth="1"/>
    <col min="43" max="43" width="17.265625" bestFit="1" customWidth="1"/>
    <col min="44" max="44" width="16.265625" bestFit="1" customWidth="1"/>
    <col min="45" max="45" width="17.265625" bestFit="1" customWidth="1"/>
    <col min="46" max="46" width="16.265625" bestFit="1" customWidth="1"/>
    <col min="47" max="47" width="17.265625" bestFit="1" customWidth="1"/>
    <col min="48" max="48" width="16.265625" bestFit="1" customWidth="1"/>
    <col min="49" max="58" width="35.33203125" bestFit="1" customWidth="1"/>
    <col min="59" max="74" width="32.265625" bestFit="1" customWidth="1"/>
  </cols>
  <sheetData>
    <row r="1" spans="1:74" x14ac:dyDescent="0.45">
      <c r="A1" s="1" t="s">
        <v>0</v>
      </c>
      <c r="B1" s="1" t="s">
        <v>865</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879</v>
      </c>
      <c r="BR1" s="1" t="s">
        <v>880</v>
      </c>
      <c r="BS1" s="1" t="s">
        <v>881</v>
      </c>
      <c r="BT1" s="1" t="s">
        <v>882</v>
      </c>
      <c r="BU1" s="1" t="s">
        <v>883</v>
      </c>
      <c r="BV1" s="1" t="s">
        <v>884</v>
      </c>
    </row>
    <row r="2" spans="1:74" x14ac:dyDescent="0.45">
      <c r="A2" s="1" t="s">
        <v>67</v>
      </c>
      <c r="B2" s="82" t="s">
        <v>869</v>
      </c>
      <c r="C2">
        <v>144.81299999999999</v>
      </c>
      <c r="D2">
        <v>1337682.9337129809</v>
      </c>
      <c r="E2">
        <v>1550211.3731858991</v>
      </c>
      <c r="F2">
        <v>1789282.706621326</v>
      </c>
      <c r="G2">
        <v>1804221.564908169</v>
      </c>
      <c r="H2">
        <v>1803292.6075614139</v>
      </c>
      <c r="I2">
        <v>1916029.2755838011</v>
      </c>
      <c r="J2">
        <v>2034290.175158496</v>
      </c>
      <c r="K2">
        <v>2129527.9167669192</v>
      </c>
      <c r="L2" s="42">
        <v>2231248.6245186571</v>
      </c>
      <c r="M2">
        <v>2363253.0066136909</v>
      </c>
      <c r="N2">
        <v>2541613.0048979712</v>
      </c>
      <c r="O2">
        <v>52427983</v>
      </c>
      <c r="P2">
        <v>53174407</v>
      </c>
      <c r="Q2">
        <v>53998958</v>
      </c>
      <c r="R2">
        <v>54819268</v>
      </c>
      <c r="S2">
        <v>55700757</v>
      </c>
      <c r="T2">
        <v>55837289</v>
      </c>
      <c r="U2">
        <v>55979757</v>
      </c>
      <c r="V2">
        <v>56107711</v>
      </c>
      <c r="W2">
        <v>56185188</v>
      </c>
      <c r="X2">
        <v>56194907</v>
      </c>
      <c r="Y2">
        <v>56204808</v>
      </c>
      <c r="Z2" t="s">
        <v>68</v>
      </c>
      <c r="AA2">
        <v>9237.3124906809535</v>
      </c>
      <c r="AB2">
        <v>362039.20228156308</v>
      </c>
      <c r="AC2">
        <v>10704.91857213026</v>
      </c>
      <c r="AD2">
        <v>367193.60140318889</v>
      </c>
      <c r="AE2">
        <v>12355.81547665835</v>
      </c>
      <c r="AF2">
        <v>372887.50319377409</v>
      </c>
      <c r="AG2">
        <v>12458.97512590837</v>
      </c>
      <c r="AH2">
        <v>378552.11893959797</v>
      </c>
      <c r="AI2">
        <v>12452.56025053976</v>
      </c>
      <c r="AJ2">
        <v>384639.20366265462</v>
      </c>
      <c r="AK2">
        <v>13231.05850706636</v>
      </c>
      <c r="AL2">
        <v>385582.01957006619</v>
      </c>
      <c r="AM2">
        <v>14047.704109151089</v>
      </c>
      <c r="AN2">
        <v>386565.82627250318</v>
      </c>
      <c r="AO2">
        <v>14705.36427507834</v>
      </c>
      <c r="AP2">
        <v>387449.4071664837</v>
      </c>
      <c r="AQ2">
        <v>15407.79228742349</v>
      </c>
      <c r="AR2">
        <v>387984.42128814408</v>
      </c>
      <c r="AS2">
        <v>16319.342922346001</v>
      </c>
      <c r="AT2">
        <v>388051.53542844922</v>
      </c>
      <c r="AU2">
        <v>17551.00028932466</v>
      </c>
      <c r="AV2">
        <v>388119.90636199788</v>
      </c>
      <c r="AW2">
        <v>3.1775607525021989</v>
      </c>
      <c r="AX2">
        <v>3.0843707841480001</v>
      </c>
      <c r="AY2">
        <v>0.16698153099630941</v>
      </c>
      <c r="AZ2">
        <v>-1.029759720006336E-2</v>
      </c>
      <c r="BA2">
        <v>1.2503424851814879</v>
      </c>
      <c r="BB2">
        <v>1.2344372925999481</v>
      </c>
      <c r="BC2">
        <v>0.93632405810545205</v>
      </c>
      <c r="BD2">
        <v>0.95533575259414105</v>
      </c>
      <c r="BE2">
        <v>1.1832332860127699</v>
      </c>
      <c r="BF2">
        <v>1.509444801594495</v>
      </c>
      <c r="BG2">
        <v>0.2847425963344804</v>
      </c>
      <c r="BH2">
        <v>0.31013077400186151</v>
      </c>
      <c r="BI2">
        <v>0.30382438120380029</v>
      </c>
      <c r="BJ2">
        <v>0.32159823805016879</v>
      </c>
      <c r="BK2">
        <v>4.9023391190177193E-2</v>
      </c>
      <c r="BL2">
        <v>5.1029698092971532E-2</v>
      </c>
      <c r="BM2">
        <v>4.5714382075649228E-2</v>
      </c>
      <c r="BN2">
        <v>2.7617237851674251E-2</v>
      </c>
      <c r="BO2">
        <v>3.4596306770389371E-3</v>
      </c>
      <c r="BP2">
        <v>3.5238068816449862E-3</v>
      </c>
      <c r="BQ2">
        <v>81598.530891880539</v>
      </c>
      <c r="BR2">
        <v>188417.40314171309</v>
      </c>
      <c r="BS2">
        <v>395705.11404735286</v>
      </c>
      <c r="BT2">
        <v>638528.88943337125</v>
      </c>
      <c r="BU2">
        <v>1015813.0624856823</v>
      </c>
      <c r="BV2">
        <v>2320062.9999999977</v>
      </c>
    </row>
    <row r="3" spans="1:74" x14ac:dyDescent="0.45">
      <c r="A3" s="1" t="s">
        <v>69</v>
      </c>
      <c r="B3" s="82" t="s">
        <v>878</v>
      </c>
      <c r="C3">
        <v>184.65799999999999</v>
      </c>
      <c r="D3">
        <v>1782153.2953622551</v>
      </c>
      <c r="E3">
        <v>2065246.8206249201</v>
      </c>
      <c r="F3">
        <v>2383308.557191906</v>
      </c>
      <c r="G3">
        <v>2398786.8925002222</v>
      </c>
      <c r="H3">
        <v>2392021.355058779</v>
      </c>
      <c r="I3">
        <v>2533906.8118390949</v>
      </c>
      <c r="J3">
        <v>2681783.9022960002</v>
      </c>
      <c r="K3">
        <v>2800875.0745490231</v>
      </c>
      <c r="L3" s="42">
        <v>2934834.392956947</v>
      </c>
      <c r="M3">
        <v>3108418.9734208798</v>
      </c>
      <c r="N3">
        <v>3343131.7704563849</v>
      </c>
      <c r="O3">
        <v>58891827</v>
      </c>
      <c r="P3">
        <v>60097922</v>
      </c>
      <c r="Q3">
        <v>61422255</v>
      </c>
      <c r="R3">
        <v>62886700</v>
      </c>
      <c r="S3">
        <v>64498819</v>
      </c>
      <c r="T3">
        <v>64878142</v>
      </c>
      <c r="U3">
        <v>65327936</v>
      </c>
      <c r="V3">
        <v>65802443</v>
      </c>
      <c r="W3">
        <v>66135413</v>
      </c>
      <c r="X3">
        <v>66253606</v>
      </c>
      <c r="Y3">
        <v>66328867</v>
      </c>
      <c r="Z3" t="s">
        <v>70</v>
      </c>
      <c r="AA3">
        <v>9651.1025537060668</v>
      </c>
      <c r="AB3">
        <v>318923.77801124251</v>
      </c>
      <c r="AC3">
        <v>11184.171932030669</v>
      </c>
      <c r="AD3">
        <v>325455.28490506782</v>
      </c>
      <c r="AE3">
        <v>12906.60874260474</v>
      </c>
      <c r="AF3">
        <v>332627.09982778982</v>
      </c>
      <c r="AG3">
        <v>12990.430376697581</v>
      </c>
      <c r="AH3">
        <v>340557.67960229178</v>
      </c>
      <c r="AI3">
        <v>12953.79217287515</v>
      </c>
      <c r="AJ3">
        <v>349287.97560896358</v>
      </c>
      <c r="AK3">
        <v>13722.16103195689</v>
      </c>
      <c r="AL3">
        <v>351342.16768295987</v>
      </c>
      <c r="AM3">
        <v>14522.977083559879</v>
      </c>
      <c r="AN3">
        <v>353777.98958073847</v>
      </c>
      <c r="AO3">
        <v>15167.90539564505</v>
      </c>
      <c r="AP3">
        <v>356347.64266915049</v>
      </c>
      <c r="AQ3">
        <v>15893.350913347629</v>
      </c>
      <c r="AR3">
        <v>358150.81393711618</v>
      </c>
      <c r="AS3">
        <v>16833.383733284671</v>
      </c>
      <c r="AT3">
        <v>358790.87827226549</v>
      </c>
      <c r="AU3">
        <v>18104.451312460791</v>
      </c>
      <c r="AV3">
        <v>359198.44794160023</v>
      </c>
      <c r="AW3">
        <v>3.1769828779529452</v>
      </c>
      <c r="AX3">
        <v>3.0801329254267551</v>
      </c>
      <c r="AY3">
        <v>0.1298894787383495</v>
      </c>
      <c r="AZ3">
        <v>-5.6407990743943343E-2</v>
      </c>
      <c r="BA3">
        <v>1.186322659538541</v>
      </c>
      <c r="BB3">
        <v>1.1671864945149739</v>
      </c>
      <c r="BC3">
        <v>0.88814890827753434</v>
      </c>
      <c r="BD3">
        <v>0.95655332596005282</v>
      </c>
      <c r="BE3">
        <v>1.1829258978326289</v>
      </c>
      <c r="BF3">
        <v>1.510174780442797</v>
      </c>
      <c r="BG3">
        <v>0.40959673402558899</v>
      </c>
      <c r="BH3">
        <v>0.44072505535216339</v>
      </c>
      <c r="BI3">
        <v>0.47684507838404833</v>
      </c>
      <c r="BJ3">
        <v>0.51270586626424985</v>
      </c>
      <c r="BK3">
        <v>0.1176216885459562</v>
      </c>
      <c r="BL3">
        <v>0.13865810152208119</v>
      </c>
      <c r="BM3">
        <v>0.145269245916479</v>
      </c>
      <c r="BN3">
        <v>0.1012029295021767</v>
      </c>
      <c r="BO3">
        <v>3.5742726820198432E-2</v>
      </c>
      <c r="BP3">
        <v>2.2719065283782439E-2</v>
      </c>
      <c r="BQ3">
        <v>124312.40665694856</v>
      </c>
      <c r="BR3">
        <v>368890.26763532043</v>
      </c>
      <c r="BS3">
        <v>600011.07740318147</v>
      </c>
      <c r="BT3">
        <v>708985.96976485697</v>
      </c>
      <c r="BU3">
        <v>1157383.2785396948</v>
      </c>
      <c r="BV3">
        <v>2959582.9999999977</v>
      </c>
    </row>
    <row r="4" spans="1:74" x14ac:dyDescent="0.45">
      <c r="A4" s="1" t="s">
        <v>71</v>
      </c>
      <c r="B4" s="82" t="s">
        <v>875</v>
      </c>
      <c r="C4">
        <v>47.887</v>
      </c>
      <c r="D4">
        <v>673976.99536319159</v>
      </c>
      <c r="E4">
        <v>777923.27244847873</v>
      </c>
      <c r="F4">
        <v>890174.3570618222</v>
      </c>
      <c r="G4">
        <v>881170.3559621718</v>
      </c>
      <c r="H4">
        <v>848618.20249793795</v>
      </c>
      <c r="I4">
        <v>853567.61777524452</v>
      </c>
      <c r="J4">
        <v>857799.26031026966</v>
      </c>
      <c r="K4">
        <v>870442.90821175417</v>
      </c>
      <c r="L4" s="42">
        <v>906211.07026054559</v>
      </c>
      <c r="M4">
        <v>958475.02806811349</v>
      </c>
      <c r="N4">
        <v>1030501.630153386</v>
      </c>
      <c r="O4">
        <v>18539519</v>
      </c>
      <c r="P4">
        <v>18582692</v>
      </c>
      <c r="Q4">
        <v>18628571</v>
      </c>
      <c r="R4">
        <v>18639174</v>
      </c>
      <c r="S4">
        <v>18649761</v>
      </c>
      <c r="T4">
        <v>18658983</v>
      </c>
      <c r="U4">
        <v>18668219</v>
      </c>
      <c r="V4">
        <v>18682485</v>
      </c>
      <c r="W4">
        <v>18717026</v>
      </c>
      <c r="X4">
        <v>18722782</v>
      </c>
      <c r="Y4">
        <v>18724092</v>
      </c>
      <c r="Z4" t="s">
        <v>72</v>
      </c>
      <c r="AA4">
        <v>14074.320700047851</v>
      </c>
      <c r="AB4">
        <v>387151.39808298711</v>
      </c>
      <c r="AC4">
        <v>16244.978228923899</v>
      </c>
      <c r="AD4">
        <v>388052.95800530422</v>
      </c>
      <c r="AE4">
        <v>18589.06085287912</v>
      </c>
      <c r="AF4">
        <v>389011.02595694031</v>
      </c>
      <c r="AG4">
        <v>18401.034852092878</v>
      </c>
      <c r="AH4">
        <v>389232.44304299698</v>
      </c>
      <c r="AI4">
        <v>17721.26469601224</v>
      </c>
      <c r="AJ4">
        <v>389453.52600914647</v>
      </c>
      <c r="AK4">
        <v>17824.620831859262</v>
      </c>
      <c r="AL4">
        <v>389646.10437070602</v>
      </c>
      <c r="AM4">
        <v>17912.988082575012</v>
      </c>
      <c r="AN4">
        <v>389838.9750871844</v>
      </c>
      <c r="AO4">
        <v>18177.01898660919</v>
      </c>
      <c r="AP4">
        <v>390136.88474951452</v>
      </c>
      <c r="AQ4">
        <v>18923.947423320431</v>
      </c>
      <c r="AR4">
        <v>390858.1869818531</v>
      </c>
      <c r="AS4">
        <v>20015.349219372969</v>
      </c>
      <c r="AT4">
        <v>390978.38661849772</v>
      </c>
      <c r="AU4">
        <v>21519.444320032289</v>
      </c>
      <c r="AV4">
        <v>391005.74268590641</v>
      </c>
      <c r="AW4">
        <v>3.0845645415322451</v>
      </c>
      <c r="AX4">
        <v>2.8859166087174182</v>
      </c>
      <c r="AY4">
        <v>-0.20229747191032771</v>
      </c>
      <c r="AZ4">
        <v>-0.7388390506779895</v>
      </c>
      <c r="BA4">
        <v>0.11664645567907431</v>
      </c>
      <c r="BB4">
        <v>9.9151899554356909E-2</v>
      </c>
      <c r="BC4">
        <v>0.29479269769739008</v>
      </c>
      <c r="BD4">
        <v>0.82183820929218332</v>
      </c>
      <c r="BE4">
        <v>1.1534610318221219</v>
      </c>
      <c r="BF4">
        <v>1.502941651603559</v>
      </c>
      <c r="BG4">
        <v>4.6574023846033978E-2</v>
      </c>
      <c r="BH4">
        <v>4.937820634383866E-2</v>
      </c>
      <c r="BI4">
        <v>1.1383589218947599E-2</v>
      </c>
      <c r="BJ4">
        <v>1.135994545681048E-2</v>
      </c>
      <c r="BK4">
        <v>9.8896709721910097E-3</v>
      </c>
      <c r="BL4">
        <v>9.8997892864793324E-3</v>
      </c>
      <c r="BM4">
        <v>1.5283728994179889E-2</v>
      </c>
      <c r="BN4">
        <v>3.6976879681691173E-2</v>
      </c>
      <c r="BO4">
        <v>6.1505497721700024E-3</v>
      </c>
      <c r="BP4">
        <v>1.399364688431452E-3</v>
      </c>
      <c r="BQ4">
        <v>9523.0588782925679</v>
      </c>
      <c r="BR4">
        <v>62315.363022307341</v>
      </c>
      <c r="BS4">
        <v>210112.13264876508</v>
      </c>
      <c r="BT4">
        <v>274997.41322667262</v>
      </c>
      <c r="BU4">
        <v>357436.03222396283</v>
      </c>
      <c r="BV4">
        <v>914384.00000000081</v>
      </c>
    </row>
    <row r="5" spans="1:74" x14ac:dyDescent="0.45">
      <c r="A5" s="1" t="s">
        <v>73</v>
      </c>
      <c r="B5" s="82" t="s">
        <v>877</v>
      </c>
      <c r="C5">
        <v>125.47</v>
      </c>
      <c r="D5">
        <v>1491560.923385167</v>
      </c>
      <c r="E5">
        <v>1728757.984322943</v>
      </c>
      <c r="F5">
        <v>1997949.297422464</v>
      </c>
      <c r="G5">
        <v>2021785.623765053</v>
      </c>
      <c r="H5">
        <v>2039517.2257641661</v>
      </c>
      <c r="I5">
        <v>2203855.835485233</v>
      </c>
      <c r="J5">
        <v>2379320.6689515738</v>
      </c>
      <c r="K5">
        <v>2512982.6095949998</v>
      </c>
      <c r="L5" s="42">
        <v>2636016.3567593382</v>
      </c>
      <c r="M5">
        <v>2791995.307074632</v>
      </c>
      <c r="N5">
        <v>3002816.8841736419</v>
      </c>
      <c r="O5">
        <v>43268537</v>
      </c>
      <c r="P5">
        <v>44032239</v>
      </c>
      <c r="Q5">
        <v>44858496</v>
      </c>
      <c r="R5">
        <v>45896641</v>
      </c>
      <c r="S5">
        <v>47060242</v>
      </c>
      <c r="T5">
        <v>47317782</v>
      </c>
      <c r="U5">
        <v>47605131</v>
      </c>
      <c r="V5">
        <v>47877290</v>
      </c>
      <c r="W5">
        <v>47997237</v>
      </c>
      <c r="X5">
        <v>48004584</v>
      </c>
      <c r="Y5">
        <v>48025519</v>
      </c>
      <c r="Z5" t="s">
        <v>74</v>
      </c>
      <c r="AA5">
        <v>11887.7892993159</v>
      </c>
      <c r="AB5">
        <v>344851.65378178051</v>
      </c>
      <c r="AC5">
        <v>13778.257625910121</v>
      </c>
      <c r="AD5">
        <v>350938.38367737312</v>
      </c>
      <c r="AE5">
        <v>15923.7211877139</v>
      </c>
      <c r="AF5">
        <v>357523.67896708369</v>
      </c>
      <c r="AG5">
        <v>16113.697487567169</v>
      </c>
      <c r="AH5">
        <v>365797.72854068701</v>
      </c>
      <c r="AI5">
        <v>16255.01893491804</v>
      </c>
      <c r="AJ5">
        <v>375071.66653383279</v>
      </c>
      <c r="AK5">
        <v>17564.803024509711</v>
      </c>
      <c r="AL5">
        <v>377124.26874950191</v>
      </c>
      <c r="AM5">
        <v>18963.26348092431</v>
      </c>
      <c r="AN5">
        <v>379414.44966924371</v>
      </c>
      <c r="AO5">
        <v>20028.55351554156</v>
      </c>
      <c r="AP5">
        <v>381583.56579261977</v>
      </c>
      <c r="AQ5">
        <v>21009.136500831581</v>
      </c>
      <c r="AR5">
        <v>382539.54730214388</v>
      </c>
      <c r="AS5">
        <v>22252.293831789531</v>
      </c>
      <c r="AT5">
        <v>382598.10313222278</v>
      </c>
      <c r="AU5">
        <v>23932.548690313561</v>
      </c>
      <c r="AV5">
        <v>382764.95576631872</v>
      </c>
      <c r="AW5">
        <v>3.1805212541965271</v>
      </c>
      <c r="AX5">
        <v>3.1142741267505771</v>
      </c>
      <c r="AY5">
        <v>0.23860792036454831</v>
      </c>
      <c r="AZ5">
        <v>0.17540536237559201</v>
      </c>
      <c r="BA5">
        <v>1.6115442188480931</v>
      </c>
      <c r="BB5">
        <v>1.59234402397022</v>
      </c>
      <c r="BC5">
        <v>1.123530278096756</v>
      </c>
      <c r="BD5">
        <v>0.97918502654633854</v>
      </c>
      <c r="BE5">
        <v>1.1834444798897339</v>
      </c>
      <c r="BF5">
        <v>1.510185755433108</v>
      </c>
      <c r="BG5">
        <v>0.3530056955704326</v>
      </c>
      <c r="BH5">
        <v>0.37529638227118089</v>
      </c>
      <c r="BI5">
        <v>0.46285323520431892</v>
      </c>
      <c r="BJ5">
        <v>0.50705279281767046</v>
      </c>
      <c r="BK5">
        <v>0.1094512008671779</v>
      </c>
      <c r="BL5">
        <v>0.1214549743688324</v>
      </c>
      <c r="BM5">
        <v>0.1143401958078847</v>
      </c>
      <c r="BN5">
        <v>5.0106010595002352E-2</v>
      </c>
      <c r="BO5">
        <v>3.061426223346981E-3</v>
      </c>
      <c r="BP5">
        <v>8.722083707672584E-3</v>
      </c>
      <c r="BQ5">
        <v>32683.542167422347</v>
      </c>
      <c r="BR5">
        <v>217180.66379032872</v>
      </c>
      <c r="BS5">
        <v>546901.14227313118</v>
      </c>
      <c r="BT5">
        <v>664217.78054568951</v>
      </c>
      <c r="BU5">
        <v>1218369.8712234301</v>
      </c>
      <c r="BV5">
        <v>2679352.9999999879</v>
      </c>
    </row>
    <row r="6" spans="1:74" x14ac:dyDescent="0.45">
      <c r="A6" s="1" t="s">
        <v>75</v>
      </c>
      <c r="B6" s="82" t="s">
        <v>876</v>
      </c>
      <c r="C6">
        <v>140.26400000000001</v>
      </c>
      <c r="D6">
        <v>1088778.340839657</v>
      </c>
      <c r="E6">
        <v>1261560.7057611861</v>
      </c>
      <c r="F6">
        <v>1455238.9845492791</v>
      </c>
      <c r="G6">
        <v>1468267.7016821869</v>
      </c>
      <c r="H6">
        <v>1467016.29334112</v>
      </c>
      <c r="I6">
        <v>1552298.705053482</v>
      </c>
      <c r="J6">
        <v>1640635.522925745</v>
      </c>
      <c r="K6">
        <v>1712663.1103175629</v>
      </c>
      <c r="L6" s="42">
        <v>1791956.953056226</v>
      </c>
      <c r="M6">
        <v>1896765.474766908</v>
      </c>
      <c r="N6">
        <v>2039889.298672772</v>
      </c>
      <c r="O6">
        <v>35378022</v>
      </c>
      <c r="P6">
        <v>36586421</v>
      </c>
      <c r="Q6">
        <v>37914436</v>
      </c>
      <c r="R6">
        <v>39974034</v>
      </c>
      <c r="S6">
        <v>42565864</v>
      </c>
      <c r="T6">
        <v>43277041</v>
      </c>
      <c r="U6">
        <v>44117920</v>
      </c>
      <c r="V6">
        <v>44999370</v>
      </c>
      <c r="W6">
        <v>45331023</v>
      </c>
      <c r="X6">
        <v>45598996</v>
      </c>
      <c r="Y6">
        <v>45726915</v>
      </c>
      <c r="Z6" t="s">
        <v>76</v>
      </c>
      <c r="AA6">
        <v>7762.3505734875462</v>
      </c>
      <c r="AB6">
        <v>252224.53373638279</v>
      </c>
      <c r="AC6">
        <v>8994.1874305679721</v>
      </c>
      <c r="AD6">
        <v>260839.70940512171</v>
      </c>
      <c r="AE6">
        <v>10374.999889845431</v>
      </c>
      <c r="AF6">
        <v>270307.6769520333</v>
      </c>
      <c r="AG6">
        <v>10467.886996536439</v>
      </c>
      <c r="AH6">
        <v>284991.40192779328</v>
      </c>
      <c r="AI6">
        <v>10458.96518950779</v>
      </c>
      <c r="AJ6">
        <v>303469.62870016543</v>
      </c>
      <c r="AK6">
        <v>11066.97873334199</v>
      </c>
      <c r="AL6">
        <v>308539.90332515817</v>
      </c>
      <c r="AM6">
        <v>11696.76840048584</v>
      </c>
      <c r="AN6">
        <v>314534.877088918</v>
      </c>
      <c r="AO6">
        <v>12210.282826081981</v>
      </c>
      <c r="AP6">
        <v>320819.09827183018</v>
      </c>
      <c r="AQ6">
        <v>12775.601387784651</v>
      </c>
      <c r="AR6">
        <v>323183.58951691102</v>
      </c>
      <c r="AS6">
        <v>13522.824636163999</v>
      </c>
      <c r="AT6">
        <v>325094.07973535621</v>
      </c>
      <c r="AU6">
        <v>14543.21350220137</v>
      </c>
      <c r="AV6">
        <v>326006.06713055383</v>
      </c>
      <c r="AW6">
        <v>3.1738758650962962</v>
      </c>
      <c r="AX6">
        <v>3.0704551577045809</v>
      </c>
      <c r="AY6">
        <v>0.17905948467898031</v>
      </c>
      <c r="AZ6">
        <v>-1.7046051474577099E-2</v>
      </c>
      <c r="BA6">
        <v>1.1626648197359939</v>
      </c>
      <c r="BB6">
        <v>1.1381420030137881</v>
      </c>
      <c r="BC6">
        <v>0.87804495740004995</v>
      </c>
      <c r="BD6">
        <v>0.92597128134511397</v>
      </c>
      <c r="BE6">
        <v>1.169766065327948</v>
      </c>
      <c r="BF6">
        <v>1.5091356924182009</v>
      </c>
      <c r="BG6">
        <v>0.68313542232519386</v>
      </c>
      <c r="BH6">
        <v>0.7259605961457668</v>
      </c>
      <c r="BI6">
        <v>1.0864452790488559</v>
      </c>
      <c r="BJ6">
        <v>1.2967567896700141</v>
      </c>
      <c r="BK6">
        <v>0.33415367769816678</v>
      </c>
      <c r="BL6">
        <v>0.38860281598272861</v>
      </c>
      <c r="BM6">
        <v>0.39958819454770311</v>
      </c>
      <c r="BN6">
        <v>0.14740339698089111</v>
      </c>
      <c r="BO6">
        <v>0.1182294077060648</v>
      </c>
      <c r="BP6">
        <v>5.610605987903769E-2</v>
      </c>
      <c r="BQ6">
        <v>54468.667889322278</v>
      </c>
      <c r="BR6">
        <v>121504.47583250808</v>
      </c>
      <c r="BS6">
        <v>320331.53192157164</v>
      </c>
      <c r="BT6">
        <v>560322.7003310693</v>
      </c>
      <c r="BU6">
        <v>802842.62402552727</v>
      </c>
      <c r="BV6">
        <v>1859469.9999999977</v>
      </c>
    </row>
    <row r="7" spans="1:74" x14ac:dyDescent="0.45">
      <c r="A7" s="1" t="s">
        <v>77</v>
      </c>
      <c r="B7" s="82" t="s">
        <v>871</v>
      </c>
      <c r="C7">
        <v>2993.32</v>
      </c>
      <c r="D7">
        <v>2182106.0489515159</v>
      </c>
      <c r="E7">
        <v>2496069.9448755351</v>
      </c>
      <c r="F7">
        <v>2811170.583457368</v>
      </c>
      <c r="G7">
        <v>3194854.0976633858</v>
      </c>
      <c r="H7">
        <v>3678278.4586566519</v>
      </c>
      <c r="I7">
        <v>4264185.5570745748</v>
      </c>
      <c r="J7">
        <v>4904434.1287423428</v>
      </c>
      <c r="K7">
        <v>5442941.8322767587</v>
      </c>
      <c r="L7" s="42">
        <v>5778718.9381681783</v>
      </c>
      <c r="M7">
        <v>5997958.2434312506</v>
      </c>
      <c r="N7">
        <v>6180593.2536711916</v>
      </c>
      <c r="O7">
        <v>49488188</v>
      </c>
      <c r="P7">
        <v>66464578</v>
      </c>
      <c r="Q7">
        <v>86188169</v>
      </c>
      <c r="R7">
        <v>106327127</v>
      </c>
      <c r="S7">
        <v>130593577</v>
      </c>
      <c r="T7">
        <v>141122280</v>
      </c>
      <c r="U7">
        <v>153752369</v>
      </c>
      <c r="V7">
        <v>166169365</v>
      </c>
      <c r="W7">
        <v>171695534</v>
      </c>
      <c r="X7">
        <v>178990966</v>
      </c>
      <c r="Y7">
        <v>182902892</v>
      </c>
      <c r="Z7" t="s">
        <v>78</v>
      </c>
      <c r="AA7">
        <v>728.99190495888058</v>
      </c>
      <c r="AB7">
        <v>16532.875870271131</v>
      </c>
      <c r="AC7">
        <v>833.88008795435667</v>
      </c>
      <c r="AD7">
        <v>22204.300910026319</v>
      </c>
      <c r="AE7">
        <v>939.14803076763201</v>
      </c>
      <c r="AF7">
        <v>28793.503200459691</v>
      </c>
      <c r="AG7">
        <v>1067.3279494552489</v>
      </c>
      <c r="AH7">
        <v>35521.470140178797</v>
      </c>
      <c r="AI7">
        <v>1228.8290121526099</v>
      </c>
      <c r="AJ7">
        <v>43628.338099501547</v>
      </c>
      <c r="AK7">
        <v>1424.567222039266</v>
      </c>
      <c r="AL7">
        <v>47145.737842930263</v>
      </c>
      <c r="AM7">
        <v>1638.459679801138</v>
      </c>
      <c r="AN7">
        <v>51365.162762417647</v>
      </c>
      <c r="AO7">
        <v>1818.362831998169</v>
      </c>
      <c r="AP7">
        <v>55513.398166584258</v>
      </c>
      <c r="AQ7">
        <v>1930.538311362694</v>
      </c>
      <c r="AR7">
        <v>57359.565298731839</v>
      </c>
      <c r="AS7">
        <v>2003.7811672094031</v>
      </c>
      <c r="AT7">
        <v>59796.802881081872</v>
      </c>
      <c r="AU7">
        <v>2064.7953622302971</v>
      </c>
      <c r="AV7">
        <v>61103.688212419649</v>
      </c>
      <c r="AW7">
        <v>2.877622708345231</v>
      </c>
      <c r="AX7">
        <v>2.5247741092250968</v>
      </c>
      <c r="AY7">
        <v>2.7297063825571</v>
      </c>
      <c r="AZ7">
        <v>3.0262687823323589</v>
      </c>
      <c r="BA7">
        <v>3.185768043411823</v>
      </c>
      <c r="BB7">
        <v>3.0029114028846702</v>
      </c>
      <c r="BC7">
        <v>2.1960034099693648</v>
      </c>
      <c r="BD7">
        <v>1.2338074381036159</v>
      </c>
      <c r="BE7">
        <v>0.75878168711410221</v>
      </c>
      <c r="BF7">
        <v>0.60899060256031434</v>
      </c>
      <c r="BG7">
        <v>6.8607846381443576</v>
      </c>
      <c r="BH7">
        <v>5.935068451047715</v>
      </c>
      <c r="BI7">
        <v>4.6732534717148937</v>
      </c>
      <c r="BJ7">
        <v>4.5644889850169656</v>
      </c>
      <c r="BK7">
        <v>1.6124381063549551</v>
      </c>
      <c r="BL7">
        <v>1.7899496805182</v>
      </c>
      <c r="BM7">
        <v>1.6151941047490459</v>
      </c>
      <c r="BN7">
        <v>0.66512488628695188</v>
      </c>
      <c r="BO7">
        <v>0.84981033927184146</v>
      </c>
      <c r="BP7">
        <v>0.43710876447250419</v>
      </c>
      <c r="BQ7">
        <v>2031883.3522263221</v>
      </c>
      <c r="BR7">
        <v>1473364.402006719</v>
      </c>
      <c r="BS7">
        <v>1228348.4729629762</v>
      </c>
      <c r="BT7">
        <v>905292.25670083985</v>
      </c>
      <c r="BU7">
        <v>599094.51610313018</v>
      </c>
      <c r="BV7">
        <v>6237983.0000000112</v>
      </c>
    </row>
    <row r="8" spans="1:74" x14ac:dyDescent="0.45">
      <c r="A8" s="1" t="s">
        <v>79</v>
      </c>
      <c r="B8" s="82" t="s">
        <v>870</v>
      </c>
      <c r="C8">
        <v>1267.8879999999999</v>
      </c>
      <c r="D8">
        <v>978568.33827298763</v>
      </c>
      <c r="E8">
        <v>1126676.345454175</v>
      </c>
      <c r="F8">
        <v>1286239.277549329</v>
      </c>
      <c r="G8">
        <v>1507261.983103812</v>
      </c>
      <c r="H8">
        <v>1839089.4902178489</v>
      </c>
      <c r="I8">
        <v>2287241.671708921</v>
      </c>
      <c r="J8">
        <v>2822550.7600809969</v>
      </c>
      <c r="K8">
        <v>3259142.142726724</v>
      </c>
      <c r="L8" s="42">
        <v>3480537.2874361789</v>
      </c>
      <c r="M8">
        <v>3614516.8987680119</v>
      </c>
      <c r="N8">
        <v>3722578.9052387159</v>
      </c>
      <c r="O8">
        <v>52237216</v>
      </c>
      <c r="P8">
        <v>61921798</v>
      </c>
      <c r="Q8">
        <v>73088247</v>
      </c>
      <c r="R8">
        <v>83461633</v>
      </c>
      <c r="S8">
        <v>95879185</v>
      </c>
      <c r="T8">
        <v>102933216</v>
      </c>
      <c r="U8">
        <v>112324923</v>
      </c>
      <c r="V8">
        <v>122275908</v>
      </c>
      <c r="W8">
        <v>127659116</v>
      </c>
      <c r="X8">
        <v>131837381</v>
      </c>
      <c r="Y8">
        <v>134298294</v>
      </c>
      <c r="Z8" t="s">
        <v>80</v>
      </c>
      <c r="AA8">
        <v>771.80976416922294</v>
      </c>
      <c r="AB8">
        <v>41200.181719520973</v>
      </c>
      <c r="AC8">
        <v>888.62450425761176</v>
      </c>
      <c r="AD8">
        <v>48838.539366253171</v>
      </c>
      <c r="AE8">
        <v>1014.4738948151009</v>
      </c>
      <c r="AF8">
        <v>57645.66507451763</v>
      </c>
      <c r="AG8">
        <v>1188.79741988552</v>
      </c>
      <c r="AH8">
        <v>65827.291527327339</v>
      </c>
      <c r="AI8">
        <v>1450.5141544188839</v>
      </c>
      <c r="AJ8">
        <v>75621.178684552578</v>
      </c>
      <c r="AK8">
        <v>1803.9776949611651</v>
      </c>
      <c r="AL8">
        <v>81184.786037883474</v>
      </c>
      <c r="AM8">
        <v>2226.1830383133188</v>
      </c>
      <c r="AN8">
        <v>88592.149306563355</v>
      </c>
      <c r="AO8">
        <v>2570.5284242194289</v>
      </c>
      <c r="AP8">
        <v>96440.622515553434</v>
      </c>
      <c r="AQ8">
        <v>2745.1456969670662</v>
      </c>
      <c r="AR8">
        <v>100686.42971618949</v>
      </c>
      <c r="AS8">
        <v>2850.8171847734279</v>
      </c>
      <c r="AT8">
        <v>103981.882469114</v>
      </c>
      <c r="AU8">
        <v>2936.0471155486262</v>
      </c>
      <c r="AV8">
        <v>105922.8370329241</v>
      </c>
      <c r="AW8">
        <v>3.0270345235688589</v>
      </c>
      <c r="AX8">
        <v>2.8324537519394268</v>
      </c>
      <c r="AY8">
        <v>3.436727666653097</v>
      </c>
      <c r="AZ8">
        <v>4.403050177524217</v>
      </c>
      <c r="BA8">
        <v>4.873631042695874</v>
      </c>
      <c r="BB8">
        <v>4.6808266480394902</v>
      </c>
      <c r="BC8">
        <v>3.0935945515693621</v>
      </c>
      <c r="BD8">
        <v>1.3586099348476259</v>
      </c>
      <c r="BE8">
        <v>0.76987890240661461</v>
      </c>
      <c r="BF8">
        <v>0.59793333104922974</v>
      </c>
      <c r="BG8">
        <v>3.7079242507870251</v>
      </c>
      <c r="BH8">
        <v>3.6066294457405772</v>
      </c>
      <c r="BI8">
        <v>2.8385920926520511</v>
      </c>
      <c r="BJ8">
        <v>2.9756312100914681</v>
      </c>
      <c r="BK8">
        <v>1.4714415855745959</v>
      </c>
      <c r="BL8">
        <v>1.824815616370133</v>
      </c>
      <c r="BM8">
        <v>1.7718213793033271</v>
      </c>
      <c r="BN8">
        <v>0.8805018237934491</v>
      </c>
      <c r="BO8">
        <v>0.65459720087674744</v>
      </c>
      <c r="BP8">
        <v>0.37332552897117999</v>
      </c>
      <c r="BQ8">
        <v>822251.26112930325</v>
      </c>
      <c r="BR8">
        <v>540438.43330245046</v>
      </c>
      <c r="BS8">
        <v>720159.1847782596</v>
      </c>
      <c r="BT8">
        <v>1133748.0610292742</v>
      </c>
      <c r="BU8">
        <v>919298.05976070918</v>
      </c>
      <c r="BV8">
        <v>4135894.9999999884</v>
      </c>
    </row>
    <row r="9" spans="1:74" x14ac:dyDescent="0.45">
      <c r="A9" s="1" t="s">
        <v>81</v>
      </c>
      <c r="B9" s="82" t="s">
        <v>874</v>
      </c>
      <c r="C9">
        <v>111.74</v>
      </c>
      <c r="D9">
        <v>594686.07632221037</v>
      </c>
      <c r="E9">
        <v>627385.52662371006</v>
      </c>
      <c r="F9">
        <v>651849.37115076045</v>
      </c>
      <c r="G9">
        <v>726024.86792432703</v>
      </c>
      <c r="H9">
        <v>812377.69556628412</v>
      </c>
      <c r="I9">
        <v>903672.32672057266</v>
      </c>
      <c r="J9">
        <v>1004410.3675665871</v>
      </c>
      <c r="K9">
        <v>1091522.4113788931</v>
      </c>
      <c r="L9" s="42">
        <v>1180671.5588142199</v>
      </c>
      <c r="M9">
        <v>1268864.0225839519</v>
      </c>
      <c r="N9">
        <v>1359290.4836495749</v>
      </c>
      <c r="O9">
        <v>14848837</v>
      </c>
      <c r="P9">
        <v>16526118</v>
      </c>
      <c r="Q9">
        <v>18346045</v>
      </c>
      <c r="R9">
        <v>21556561</v>
      </c>
      <c r="S9">
        <v>25416642</v>
      </c>
      <c r="T9">
        <v>26266168</v>
      </c>
      <c r="U9">
        <v>27320432</v>
      </c>
      <c r="V9">
        <v>28294693</v>
      </c>
      <c r="W9">
        <v>28453566</v>
      </c>
      <c r="X9">
        <v>28748272</v>
      </c>
      <c r="Y9">
        <v>28847442</v>
      </c>
      <c r="Z9" t="s">
        <v>82</v>
      </c>
      <c r="AA9">
        <v>5322.0518732970322</v>
      </c>
      <c r="AB9">
        <v>132887.39037050301</v>
      </c>
      <c r="AC9">
        <v>5614.6905908690705</v>
      </c>
      <c r="AD9">
        <v>147897.9595489529</v>
      </c>
      <c r="AE9">
        <v>5833.6260171000577</v>
      </c>
      <c r="AF9">
        <v>164185.11723644179</v>
      </c>
      <c r="AG9">
        <v>6497.4482542001706</v>
      </c>
      <c r="AH9">
        <v>192917.1379989261</v>
      </c>
      <c r="AI9">
        <v>7270.249647094005</v>
      </c>
      <c r="AJ9">
        <v>227462.34114909609</v>
      </c>
      <c r="AK9">
        <v>8087.2769529315619</v>
      </c>
      <c r="AL9">
        <v>235065.04385179881</v>
      </c>
      <c r="AM9">
        <v>8988.8166061087068</v>
      </c>
      <c r="AN9">
        <v>244500.01789869339</v>
      </c>
      <c r="AO9">
        <v>9768.4124877294871</v>
      </c>
      <c r="AP9">
        <v>253219.01736173261</v>
      </c>
      <c r="AQ9">
        <v>10566.239115931799</v>
      </c>
      <c r="AR9">
        <v>254640.82691963491</v>
      </c>
      <c r="AS9">
        <v>11355.504050330699</v>
      </c>
      <c r="AT9">
        <v>257278.25308752459</v>
      </c>
      <c r="AU9">
        <v>12164.76180105222</v>
      </c>
      <c r="AV9">
        <v>258165.75979953469</v>
      </c>
      <c r="AW9">
        <v>1.0997214027181159</v>
      </c>
      <c r="AX9">
        <v>0.7798663975786353</v>
      </c>
      <c r="AY9">
        <v>2.2758477665666468</v>
      </c>
      <c r="AZ9">
        <v>2.378784293954999</v>
      </c>
      <c r="BA9">
        <v>2.2475907857280539</v>
      </c>
      <c r="BB9">
        <v>2.2295258550539572</v>
      </c>
      <c r="BC9">
        <v>1.734590693709281</v>
      </c>
      <c r="BD9">
        <v>1.6334826753159739</v>
      </c>
      <c r="BE9">
        <v>1.493937295454238</v>
      </c>
      <c r="BF9">
        <v>1.425313657825606</v>
      </c>
      <c r="BG9">
        <v>2.259141237795256</v>
      </c>
      <c r="BH9">
        <v>2.2024857864381699</v>
      </c>
      <c r="BI9">
        <v>3.4999543498339838</v>
      </c>
      <c r="BJ9">
        <v>3.581351403871889</v>
      </c>
      <c r="BK9">
        <v>0.66848012416431724</v>
      </c>
      <c r="BL9">
        <v>0.80275432640193267</v>
      </c>
      <c r="BM9">
        <v>0.71321053781287203</v>
      </c>
      <c r="BN9">
        <v>0.1122987975165519</v>
      </c>
      <c r="BO9">
        <v>0.20714872786068361</v>
      </c>
      <c r="BP9">
        <v>6.899197280448717E-2</v>
      </c>
      <c r="BQ9">
        <v>236383.54809758705</v>
      </c>
      <c r="BR9">
        <v>158644.0042167553</v>
      </c>
      <c r="BS9">
        <v>173188.35971203851</v>
      </c>
      <c r="BT9">
        <v>225346.47027495108</v>
      </c>
      <c r="BU9">
        <v>330288.61769866728</v>
      </c>
      <c r="BV9">
        <v>1123850.9999999977</v>
      </c>
    </row>
    <row r="10" spans="1:74" x14ac:dyDescent="0.45">
      <c r="A10" s="1" t="s">
        <v>83</v>
      </c>
      <c r="B10" s="82" t="s">
        <v>873</v>
      </c>
      <c r="C10">
        <v>214.09200000000001</v>
      </c>
      <c r="D10">
        <v>342410.15041784092</v>
      </c>
      <c r="E10">
        <v>506473.2445235168</v>
      </c>
      <c r="F10">
        <v>757794.71361053351</v>
      </c>
      <c r="G10">
        <v>1136299.7581995591</v>
      </c>
      <c r="H10">
        <v>1720082.530953862</v>
      </c>
      <c r="I10">
        <v>1998967.674128663</v>
      </c>
      <c r="J10">
        <v>2320892.8192696092</v>
      </c>
      <c r="K10">
        <v>2692128.356658896</v>
      </c>
      <c r="L10" s="42">
        <v>3120362.1908954862</v>
      </c>
      <c r="M10">
        <v>3461546.6719560609</v>
      </c>
      <c r="N10">
        <v>3693743.9953098218</v>
      </c>
      <c r="O10">
        <v>42483481</v>
      </c>
      <c r="P10">
        <v>46193955</v>
      </c>
      <c r="Q10">
        <v>50237856</v>
      </c>
      <c r="R10">
        <v>58106395</v>
      </c>
      <c r="S10">
        <v>67355836</v>
      </c>
      <c r="T10">
        <v>69137178</v>
      </c>
      <c r="U10">
        <v>71087814</v>
      </c>
      <c r="V10">
        <v>72815406</v>
      </c>
      <c r="W10">
        <v>73222858</v>
      </c>
      <c r="X10">
        <v>73476896</v>
      </c>
      <c r="Y10">
        <v>73604656</v>
      </c>
      <c r="Z10" t="s">
        <v>84</v>
      </c>
      <c r="AA10">
        <v>1599.3598565936179</v>
      </c>
      <c r="AB10">
        <v>198435.63047661749</v>
      </c>
      <c r="AC10">
        <v>2365.6803828425009</v>
      </c>
      <c r="AD10">
        <v>215766.84322627651</v>
      </c>
      <c r="AE10">
        <v>3539.575106078385</v>
      </c>
      <c r="AF10">
        <v>234655.45653270549</v>
      </c>
      <c r="AG10">
        <v>5307.5302122431422</v>
      </c>
      <c r="AH10">
        <v>271408.52997776662</v>
      </c>
      <c r="AI10">
        <v>8034.3148317259038</v>
      </c>
      <c r="AJ10">
        <v>314611.64359247423</v>
      </c>
      <c r="AK10">
        <v>9336.9564212051991</v>
      </c>
      <c r="AL10">
        <v>322932.09461353061</v>
      </c>
      <c r="AM10">
        <v>10840.63308890388</v>
      </c>
      <c r="AN10">
        <v>332043.29914242472</v>
      </c>
      <c r="AO10">
        <v>12574.6331327602</v>
      </c>
      <c r="AP10">
        <v>340112.68987164402</v>
      </c>
      <c r="AQ10">
        <v>14574.865902955209</v>
      </c>
      <c r="AR10">
        <v>342015.85299777659</v>
      </c>
      <c r="AS10">
        <v>16168.50079384592</v>
      </c>
      <c r="AT10">
        <v>343202.43633578077</v>
      </c>
      <c r="AU10">
        <v>17253.068752264549</v>
      </c>
      <c r="AV10">
        <v>343799.18913364352</v>
      </c>
      <c r="AW10">
        <v>9.5828405732406488</v>
      </c>
      <c r="AX10">
        <v>9.9243729774296998</v>
      </c>
      <c r="AY10">
        <v>9.9896459500390993</v>
      </c>
      <c r="AZ10">
        <v>10.275154395514329</v>
      </c>
      <c r="BA10">
        <v>3.2426949074373428</v>
      </c>
      <c r="BB10">
        <v>3.2209139678186158</v>
      </c>
      <c r="BC10">
        <v>3.1990752378312419</v>
      </c>
      <c r="BD10">
        <v>3.1813775385365051</v>
      </c>
      <c r="BE10">
        <v>2.1868261450935069</v>
      </c>
      <c r="BF10">
        <v>1.3415813528381519</v>
      </c>
      <c r="BG10">
        <v>1.7467843560182841</v>
      </c>
      <c r="BH10">
        <v>1.7508355801099951</v>
      </c>
      <c r="BI10">
        <v>3.132513855686835</v>
      </c>
      <c r="BJ10">
        <v>3.1836223878628158</v>
      </c>
      <c r="BK10">
        <v>0.52893471621375165</v>
      </c>
      <c r="BL10">
        <v>0.56427990161820019</v>
      </c>
      <c r="BM10">
        <v>0.48604448576798259</v>
      </c>
      <c r="BN10">
        <v>0.1119136793661495</v>
      </c>
      <c r="BO10">
        <v>6.9387622100191726E-2</v>
      </c>
      <c r="BP10">
        <v>3.4775557203722919E-2</v>
      </c>
      <c r="BQ10">
        <v>209433.94320603149</v>
      </c>
      <c r="BR10">
        <v>366817.56074807065</v>
      </c>
      <c r="BS10">
        <v>455155.40512952523</v>
      </c>
      <c r="BT10">
        <v>722065.1815595536</v>
      </c>
      <c r="BU10">
        <v>1403832.9093568185</v>
      </c>
      <c r="BV10">
        <v>3157304.999999973</v>
      </c>
    </row>
    <row r="11" spans="1:74" x14ac:dyDescent="0.45">
      <c r="A11" s="1" t="s">
        <v>85</v>
      </c>
      <c r="B11" s="82" t="s">
        <v>872</v>
      </c>
      <c r="C11">
        <v>199.732</v>
      </c>
      <c r="D11">
        <v>474954.98726260389</v>
      </c>
      <c r="E11">
        <v>608691.71796194219</v>
      </c>
      <c r="F11">
        <v>775363.49664213683</v>
      </c>
      <c r="G11">
        <v>984589.7048016456</v>
      </c>
      <c r="H11">
        <v>1248234.1225886489</v>
      </c>
      <c r="I11">
        <v>1515158.8753591371</v>
      </c>
      <c r="J11">
        <v>1836970.482727478</v>
      </c>
      <c r="K11">
        <v>2219951.4787912378</v>
      </c>
      <c r="L11" s="42">
        <v>2661143.70451333</v>
      </c>
      <c r="M11">
        <v>3009028.856696174</v>
      </c>
      <c r="N11">
        <v>3225676.0086167902</v>
      </c>
      <c r="O11">
        <v>33044364</v>
      </c>
      <c r="P11">
        <v>36936882</v>
      </c>
      <c r="Q11">
        <v>41145631</v>
      </c>
      <c r="R11">
        <v>47001473</v>
      </c>
      <c r="S11">
        <v>53500780</v>
      </c>
      <c r="T11">
        <v>55636157</v>
      </c>
      <c r="U11">
        <v>57989547</v>
      </c>
      <c r="V11">
        <v>60114517</v>
      </c>
      <c r="W11">
        <v>60513449</v>
      </c>
      <c r="X11">
        <v>60768568</v>
      </c>
      <c r="Y11">
        <v>60894046</v>
      </c>
      <c r="Z11" t="s">
        <v>86</v>
      </c>
      <c r="AA11">
        <v>2377.9614045951771</v>
      </c>
      <c r="AB11">
        <v>165443.51430917429</v>
      </c>
      <c r="AC11">
        <v>3047.542296487004</v>
      </c>
      <c r="AD11">
        <v>184932.21917369269</v>
      </c>
      <c r="AE11">
        <v>3882.0193891922022</v>
      </c>
      <c r="AF11">
        <v>206004.20062884269</v>
      </c>
      <c r="AG11">
        <v>4929.5541265377888</v>
      </c>
      <c r="AH11">
        <v>235322.69741453551</v>
      </c>
      <c r="AI11">
        <v>6249.5450032475956</v>
      </c>
      <c r="AJ11">
        <v>267862.8362005087</v>
      </c>
      <c r="AK11">
        <v>7585.9595626095797</v>
      </c>
      <c r="AL11">
        <v>278554.04742354748</v>
      </c>
      <c r="AM11">
        <v>9197.1766303220193</v>
      </c>
      <c r="AN11">
        <v>290336.78629363352</v>
      </c>
      <c r="AO11">
        <v>11114.65102633147</v>
      </c>
      <c r="AP11">
        <v>300975.89269621292</v>
      </c>
      <c r="AQ11">
        <v>13323.57210919297</v>
      </c>
      <c r="AR11">
        <v>302973.22912703018</v>
      </c>
      <c r="AS11">
        <v>15065.33182813056</v>
      </c>
      <c r="AT11">
        <v>304250.53571786202</v>
      </c>
      <c r="AU11">
        <v>16150.021071319519</v>
      </c>
      <c r="AV11">
        <v>304878.767548515</v>
      </c>
      <c r="AW11">
        <v>5.6315539066187279</v>
      </c>
      <c r="AX11">
        <v>5.4763938381897157</v>
      </c>
      <c r="AY11">
        <v>5.3968547414368553</v>
      </c>
      <c r="AZ11">
        <v>5.355416911252731</v>
      </c>
      <c r="BA11">
        <v>4.2768379415381803</v>
      </c>
      <c r="BB11">
        <v>4.2478925821170046</v>
      </c>
      <c r="BC11">
        <v>4.1697022316343562</v>
      </c>
      <c r="BD11">
        <v>3.9747916108717898</v>
      </c>
      <c r="BE11">
        <v>2.6145536717376578</v>
      </c>
      <c r="BF11">
        <v>1.4399805534499821</v>
      </c>
      <c r="BG11">
        <v>2.3559345853955609</v>
      </c>
      <c r="BH11">
        <v>2.2788869943055832</v>
      </c>
      <c r="BI11">
        <v>2.846397956565546</v>
      </c>
      <c r="BJ11">
        <v>2.7655758788666049</v>
      </c>
      <c r="BK11">
        <v>0.79826013751575198</v>
      </c>
      <c r="BL11">
        <v>0.84599301134332483</v>
      </c>
      <c r="BM11">
        <v>0.7328803585929029</v>
      </c>
      <c r="BN11">
        <v>0.13272401406801621</v>
      </c>
      <c r="BO11">
        <v>8.4318115796043952E-2</v>
      </c>
      <c r="BP11">
        <v>4.1297007360779008E-2</v>
      </c>
      <c r="BQ11">
        <v>142660.27847015439</v>
      </c>
      <c r="BR11">
        <v>344608.30338505923</v>
      </c>
      <c r="BS11">
        <v>320771.55932279892</v>
      </c>
      <c r="BT11">
        <v>694673.3587416003</v>
      </c>
      <c r="BU11">
        <v>1105740.5000803904</v>
      </c>
      <c r="BV11">
        <v>2608454.0000000023</v>
      </c>
    </row>
    <row r="12" spans="1:74" x14ac:dyDescent="0.45">
      <c r="A12" s="1" t="s">
        <v>87</v>
      </c>
      <c r="B12" s="82" t="s">
        <v>868</v>
      </c>
      <c r="C12">
        <v>1026.623</v>
      </c>
      <c r="D12">
        <v>1073949.860162592</v>
      </c>
      <c r="E12">
        <v>1279771.691678013</v>
      </c>
      <c r="F12">
        <v>1500316.440753642</v>
      </c>
      <c r="G12">
        <v>1777265.778574564</v>
      </c>
      <c r="H12">
        <v>2132674.7403125451</v>
      </c>
      <c r="I12">
        <v>2586748.4785504369</v>
      </c>
      <c r="J12">
        <v>3115177.268957179</v>
      </c>
      <c r="K12">
        <v>3608712.1421109098</v>
      </c>
      <c r="L12" s="42">
        <v>3967212.0828755158</v>
      </c>
      <c r="M12">
        <v>4259138.8684880696</v>
      </c>
      <c r="N12">
        <v>4535072.3424238032</v>
      </c>
      <c r="O12">
        <v>48403060</v>
      </c>
      <c r="P12">
        <v>59081027</v>
      </c>
      <c r="Q12">
        <v>71438844</v>
      </c>
      <c r="R12">
        <v>79081204</v>
      </c>
      <c r="S12">
        <v>87425560</v>
      </c>
      <c r="T12">
        <v>93352342</v>
      </c>
      <c r="U12">
        <v>100422385</v>
      </c>
      <c r="V12">
        <v>107292126</v>
      </c>
      <c r="W12">
        <v>110714569</v>
      </c>
      <c r="X12">
        <v>113998007</v>
      </c>
      <c r="Y12">
        <v>116016189</v>
      </c>
      <c r="Z12" t="s">
        <v>88</v>
      </c>
      <c r="AA12">
        <v>1046.0995517951501</v>
      </c>
      <c r="AB12">
        <v>47147.842976438282</v>
      </c>
      <c r="AC12">
        <v>1246.583888806322</v>
      </c>
      <c r="AD12">
        <v>57548.902566959827</v>
      </c>
      <c r="AE12">
        <v>1461.409339897549</v>
      </c>
      <c r="AF12">
        <v>69586.249285278041</v>
      </c>
      <c r="AG12">
        <v>1731.176662294303</v>
      </c>
      <c r="AH12">
        <v>77030.423047214019</v>
      </c>
      <c r="AI12">
        <v>2077.368946840802</v>
      </c>
      <c r="AJ12">
        <v>85158.388230148747</v>
      </c>
      <c r="AK12">
        <v>2519.6673740510751</v>
      </c>
      <c r="AL12">
        <v>90931.473384095225</v>
      </c>
      <c r="AM12">
        <v>3034.3926338657711</v>
      </c>
      <c r="AN12">
        <v>97818.171811853026</v>
      </c>
      <c r="AO12">
        <v>3515.128866303316</v>
      </c>
      <c r="AP12">
        <v>104509.76259055171</v>
      </c>
      <c r="AQ12">
        <v>3864.331972764604</v>
      </c>
      <c r="AR12">
        <v>107843.4527572439</v>
      </c>
      <c r="AS12">
        <v>4148.6883388430506</v>
      </c>
      <c r="AT12">
        <v>111041.7426845103</v>
      </c>
      <c r="AU12">
        <v>4417.466141342833</v>
      </c>
      <c r="AV12">
        <v>113007.58798507341</v>
      </c>
      <c r="AW12">
        <v>3.832987724105863</v>
      </c>
      <c r="AX12">
        <v>3.446626464857248</v>
      </c>
      <c r="AY12">
        <v>3.6918789969641921</v>
      </c>
      <c r="AZ12">
        <v>3.9995026745300031</v>
      </c>
      <c r="BA12">
        <v>4.2582558854834804</v>
      </c>
      <c r="BB12">
        <v>4.0856603940315308</v>
      </c>
      <c r="BC12">
        <v>3.1685829122587559</v>
      </c>
      <c r="BD12">
        <v>1.9868580626378389</v>
      </c>
      <c r="BE12">
        <v>1.471697401168222</v>
      </c>
      <c r="BF12">
        <v>1.2957242412416849</v>
      </c>
      <c r="BG12">
        <v>4.4121041107731616</v>
      </c>
      <c r="BH12">
        <v>4.1833453572159467</v>
      </c>
      <c r="BI12">
        <v>2.1395530980316542</v>
      </c>
      <c r="BJ12">
        <v>2.1103259884611769</v>
      </c>
      <c r="BK12">
        <v>1.3558465053011961</v>
      </c>
      <c r="BL12">
        <v>1.5147007238447221</v>
      </c>
      <c r="BM12">
        <v>1.3681692582784211</v>
      </c>
      <c r="BN12">
        <v>0.63796722603856315</v>
      </c>
      <c r="BO12">
        <v>0.59313566943479679</v>
      </c>
      <c r="BP12">
        <v>0.35407320761318217</v>
      </c>
      <c r="BQ12">
        <v>379233.6938739568</v>
      </c>
      <c r="BR12">
        <v>776630.86774186743</v>
      </c>
      <c r="BS12">
        <v>1034297.8386857408</v>
      </c>
      <c r="BT12">
        <v>1103400.3162562714</v>
      </c>
      <c r="BU12">
        <v>692394.28344216046</v>
      </c>
      <c r="BV12">
        <v>3985956.9999999744</v>
      </c>
    </row>
    <row r="13" spans="1:74" x14ac:dyDescent="0.45">
      <c r="A13" s="1" t="s">
        <v>89</v>
      </c>
      <c r="B13" s="82" t="s">
        <v>866</v>
      </c>
      <c r="C13">
        <v>181.46700000000001</v>
      </c>
      <c r="D13">
        <v>648577.80550722464</v>
      </c>
      <c r="E13">
        <v>779448.39394258335</v>
      </c>
      <c r="F13">
        <v>936688.54190204036</v>
      </c>
      <c r="G13">
        <v>1118004.3286831391</v>
      </c>
      <c r="H13">
        <v>1335432.34244793</v>
      </c>
      <c r="I13">
        <v>1533509.5076358239</v>
      </c>
      <c r="J13">
        <v>1759062.2931934581</v>
      </c>
      <c r="K13">
        <v>1968593.1366277561</v>
      </c>
      <c r="L13" s="42">
        <v>2200043.7067562928</v>
      </c>
      <c r="M13">
        <v>2409482.5629222458</v>
      </c>
      <c r="N13">
        <v>2600394.1284611342</v>
      </c>
      <c r="O13">
        <v>43892980</v>
      </c>
      <c r="P13">
        <v>45744635</v>
      </c>
      <c r="Q13">
        <v>47769439</v>
      </c>
      <c r="R13">
        <v>49511759</v>
      </c>
      <c r="S13">
        <v>51418781</v>
      </c>
      <c r="T13">
        <v>52223768</v>
      </c>
      <c r="U13">
        <v>53116563</v>
      </c>
      <c r="V13">
        <v>53928580</v>
      </c>
      <c r="W13">
        <v>54296331</v>
      </c>
      <c r="X13">
        <v>54506128</v>
      </c>
      <c r="Y13">
        <v>54633131</v>
      </c>
      <c r="Z13" t="s">
        <v>90</v>
      </c>
      <c r="AA13">
        <v>3574.0812682593778</v>
      </c>
      <c r="AB13">
        <v>241878.57847432309</v>
      </c>
      <c r="AC13">
        <v>4295.262466137553</v>
      </c>
      <c r="AD13">
        <v>252082.38963558109</v>
      </c>
      <c r="AE13">
        <v>5161.7569139404977</v>
      </c>
      <c r="AF13">
        <v>263240.36326163978</v>
      </c>
      <c r="AG13">
        <v>6160.9236317519917</v>
      </c>
      <c r="AH13">
        <v>272841.66818209371</v>
      </c>
      <c r="AI13">
        <v>7359.0919696028996</v>
      </c>
      <c r="AJ13">
        <v>283350.58715909778</v>
      </c>
      <c r="AK13">
        <v>8450.6246735540008</v>
      </c>
      <c r="AL13">
        <v>287786.58378658368</v>
      </c>
      <c r="AM13">
        <v>9693.5657347807464</v>
      </c>
      <c r="AN13">
        <v>292706.45902560803</v>
      </c>
      <c r="AO13">
        <v>10848.215579845129</v>
      </c>
      <c r="AP13">
        <v>297181.1954790678</v>
      </c>
      <c r="AQ13">
        <v>12123.657231101481</v>
      </c>
      <c r="AR13">
        <v>299207.7402502934</v>
      </c>
      <c r="AS13">
        <v>13277.8001670951</v>
      </c>
      <c r="AT13">
        <v>300363.85678938869</v>
      </c>
      <c r="AU13">
        <v>14329.845803706099</v>
      </c>
      <c r="AV13">
        <v>301063.72508500167</v>
      </c>
      <c r="AW13">
        <v>4.0356172327855253</v>
      </c>
      <c r="AX13">
        <v>4.0346519200356399</v>
      </c>
      <c r="AY13">
        <v>3.8714210470199308</v>
      </c>
      <c r="AZ13">
        <v>3.8895737375344899</v>
      </c>
      <c r="BA13">
        <v>2.9664874646484409</v>
      </c>
      <c r="BB13">
        <v>2.9416548698855278</v>
      </c>
      <c r="BC13">
        <v>2.3823015733446189</v>
      </c>
      <c r="BD13">
        <v>2.351431241145304</v>
      </c>
      <c r="BE13">
        <v>1.903951776255814</v>
      </c>
      <c r="BF13">
        <v>1.5846685796916351</v>
      </c>
      <c r="BG13">
        <v>0.84371350498416831</v>
      </c>
      <c r="BH13">
        <v>0.88526403150883148</v>
      </c>
      <c r="BI13">
        <v>0.72947057217900346</v>
      </c>
      <c r="BJ13">
        <v>0.77033094299881366</v>
      </c>
      <c r="BK13">
        <v>0.3131101065970428</v>
      </c>
      <c r="BL13">
        <v>0.34191136878518608</v>
      </c>
      <c r="BM13">
        <v>0.30574907491661307</v>
      </c>
      <c r="BN13">
        <v>0.13638445514419259</v>
      </c>
      <c r="BO13">
        <v>7.7278518137809338E-2</v>
      </c>
      <c r="BP13">
        <v>4.6601365629934312E-2</v>
      </c>
      <c r="BQ13">
        <v>27988.43023851185</v>
      </c>
      <c r="BR13">
        <v>159677.75291874923</v>
      </c>
      <c r="BS13">
        <v>372109.7888713163</v>
      </c>
      <c r="BT13">
        <v>617373.78268614446</v>
      </c>
      <c r="BU13">
        <v>1159991.2452852789</v>
      </c>
      <c r="BV13">
        <v>2337141.000000007</v>
      </c>
    </row>
    <row r="14" spans="1:74" x14ac:dyDescent="0.45">
      <c r="A14" s="1" t="s">
        <v>91</v>
      </c>
      <c r="B14" s="82" t="s">
        <v>867</v>
      </c>
      <c r="C14">
        <v>164.39599999999999</v>
      </c>
      <c r="D14">
        <v>498319.08666204597</v>
      </c>
      <c r="E14">
        <v>587157.83453806606</v>
      </c>
      <c r="F14">
        <v>683792.40839798329</v>
      </c>
      <c r="G14">
        <v>801975.5017167296</v>
      </c>
      <c r="H14">
        <v>952036.73062326794</v>
      </c>
      <c r="I14">
        <v>1130960.0771995741</v>
      </c>
      <c r="J14">
        <v>1330366.0716539661</v>
      </c>
      <c r="K14">
        <v>1511560.8948618099</v>
      </c>
      <c r="L14" s="42">
        <v>1658601.815671179</v>
      </c>
      <c r="M14">
        <v>1780805.171853205</v>
      </c>
      <c r="N14">
        <v>1897522.3929466461</v>
      </c>
      <c r="O14">
        <v>32317131</v>
      </c>
      <c r="P14">
        <v>35140455</v>
      </c>
      <c r="Q14">
        <v>38246145</v>
      </c>
      <c r="R14">
        <v>41943709</v>
      </c>
      <c r="S14">
        <v>45771104</v>
      </c>
      <c r="T14">
        <v>46962607</v>
      </c>
      <c r="U14">
        <v>48272025</v>
      </c>
      <c r="V14">
        <v>49420516</v>
      </c>
      <c r="W14">
        <v>49813946</v>
      </c>
      <c r="X14">
        <v>49953710</v>
      </c>
      <c r="Y14">
        <v>50040591</v>
      </c>
      <c r="Z14" t="s">
        <v>92</v>
      </c>
      <c r="AA14">
        <v>3031.2117488384511</v>
      </c>
      <c r="AB14">
        <v>196581.0056205747</v>
      </c>
      <c r="AC14">
        <v>3571.6065752090449</v>
      </c>
      <c r="AD14">
        <v>213754.92712718071</v>
      </c>
      <c r="AE14">
        <v>4159.4224214578417</v>
      </c>
      <c r="AF14">
        <v>232646.4451689822</v>
      </c>
      <c r="AG14">
        <v>4878.3151762617681</v>
      </c>
      <c r="AH14">
        <v>255138.25762183999</v>
      </c>
      <c r="AI14">
        <v>5791.1185833187428</v>
      </c>
      <c r="AJ14">
        <v>278419.81556728878</v>
      </c>
      <c r="AK14">
        <v>6879.4865884788805</v>
      </c>
      <c r="AL14">
        <v>285667.57707000169</v>
      </c>
      <c r="AM14">
        <v>8092.4479406674482</v>
      </c>
      <c r="AN14">
        <v>293632.60054989182</v>
      </c>
      <c r="AO14">
        <v>9194.6330498419084</v>
      </c>
      <c r="AP14">
        <v>300618.72551643592</v>
      </c>
      <c r="AQ14">
        <v>10089.06430613384</v>
      </c>
      <c r="AR14">
        <v>303011.91026545659</v>
      </c>
      <c r="AS14">
        <v>10832.411809613401</v>
      </c>
      <c r="AT14">
        <v>303862.07693617849</v>
      </c>
      <c r="AU14">
        <v>11542.3878497448</v>
      </c>
      <c r="AV14">
        <v>304390.5630307307</v>
      </c>
      <c r="AW14">
        <v>3.5655366312015042</v>
      </c>
      <c r="AX14">
        <v>3.2916046819316458</v>
      </c>
      <c r="AY14">
        <v>3.4566950983158899</v>
      </c>
      <c r="AZ14">
        <v>3.742289598256141</v>
      </c>
      <c r="BA14">
        <v>3.7587488133818279</v>
      </c>
      <c r="BB14">
        <v>3.5263135892144049</v>
      </c>
      <c r="BC14">
        <v>2.7239844290763662</v>
      </c>
      <c r="BD14">
        <v>1.945550739096239</v>
      </c>
      <c r="BE14">
        <v>1.4735707513086831</v>
      </c>
      <c r="BF14">
        <v>1.3108365018052841</v>
      </c>
      <c r="BG14">
        <v>1.747261537541807</v>
      </c>
      <c r="BH14">
        <v>1.767586674674531</v>
      </c>
      <c r="BI14">
        <v>1.933561670071585</v>
      </c>
      <c r="BJ14">
        <v>1.8250150457604979</v>
      </c>
      <c r="BK14">
        <v>0.52063546468094812</v>
      </c>
      <c r="BL14">
        <v>0.55764280718061499</v>
      </c>
      <c r="BM14">
        <v>0.47584123516674509</v>
      </c>
      <c r="BN14">
        <v>0.15921727729431229</v>
      </c>
      <c r="BO14">
        <v>5.611440619460261E-2</v>
      </c>
      <c r="BP14">
        <v>3.4784603585999919E-2</v>
      </c>
      <c r="BQ14">
        <v>45638.246786557589</v>
      </c>
      <c r="BR14">
        <v>180335.6294253706</v>
      </c>
      <c r="BS14">
        <v>392352.64970945305</v>
      </c>
      <c r="BT14">
        <v>481095.16712395241</v>
      </c>
      <c r="BU14">
        <v>701756.30695466616</v>
      </c>
      <c r="BV14">
        <v>1801177.9999999912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391C-8BC6-4DE2-93C0-6977ECEE3B19}">
  <dimension ref="A1:AA21"/>
  <sheetViews>
    <sheetView topLeftCell="J1" zoomScale="115" zoomScaleNormal="115" workbookViewId="0">
      <selection activeCell="S4" sqref="S4"/>
    </sheetView>
  </sheetViews>
  <sheetFormatPr defaultRowHeight="14.25" x14ac:dyDescent="0.45"/>
  <cols>
    <col min="1" max="1" width="17.53125" bestFit="1" customWidth="1"/>
    <col min="2" max="2" width="18.33203125" customWidth="1"/>
    <col min="6" max="6" width="6.53125" bestFit="1" customWidth="1"/>
    <col min="7" max="15" width="18.53125" style="108" bestFit="1" customWidth="1"/>
    <col min="16" max="16" width="17.59765625" style="108" bestFit="1" customWidth="1"/>
    <col min="17" max="17" width="12.86328125" style="108" customWidth="1"/>
    <col min="18" max="18" width="15.3984375" style="108" customWidth="1"/>
  </cols>
  <sheetData>
    <row r="1" spans="1:27" x14ac:dyDescent="0.45">
      <c r="L1" s="108" t="s">
        <v>1021</v>
      </c>
      <c r="R1" s="108" t="s">
        <v>1022</v>
      </c>
    </row>
    <row r="2" spans="1:27" x14ac:dyDescent="0.45">
      <c r="A2" t="s">
        <v>1003</v>
      </c>
      <c r="B2" t="s">
        <v>1004</v>
      </c>
      <c r="C2" t="s">
        <v>1005</v>
      </c>
      <c r="D2" t="s">
        <v>1006</v>
      </c>
      <c r="E2" t="s">
        <v>1007</v>
      </c>
      <c r="F2" t="s">
        <v>1008</v>
      </c>
      <c r="G2" s="106">
        <v>2000</v>
      </c>
      <c r="H2" s="106">
        <v>2005</v>
      </c>
      <c r="I2" s="106">
        <v>2010</v>
      </c>
      <c r="J2" s="106">
        <v>2015</v>
      </c>
      <c r="K2" s="106">
        <v>2020</v>
      </c>
      <c r="L2" s="106">
        <v>2025</v>
      </c>
      <c r="M2" s="106">
        <v>2030</v>
      </c>
      <c r="N2" s="106">
        <v>2035</v>
      </c>
      <c r="O2" s="106">
        <v>2040</v>
      </c>
      <c r="P2" s="106">
        <v>2045</v>
      </c>
      <c r="Q2" s="106">
        <v>2050</v>
      </c>
      <c r="R2" s="106" t="s">
        <v>1015</v>
      </c>
    </row>
    <row r="3" spans="1:27" x14ac:dyDescent="0.45">
      <c r="A3" t="s">
        <v>1009</v>
      </c>
      <c r="B3" t="s">
        <v>1010</v>
      </c>
      <c r="C3" t="s">
        <v>1011</v>
      </c>
      <c r="D3" t="s">
        <v>94</v>
      </c>
      <c r="E3" t="s">
        <v>1012</v>
      </c>
      <c r="F3">
        <v>1</v>
      </c>
      <c r="G3" s="108">
        <v>212.544104</v>
      </c>
      <c r="H3" s="108">
        <v>227.32299599999999</v>
      </c>
      <c r="I3" s="108">
        <v>242.498526</v>
      </c>
      <c r="J3" s="108">
        <v>257.68750299999999</v>
      </c>
      <c r="K3" s="108">
        <v>270.82585499999999</v>
      </c>
      <c r="L3" s="108">
        <v>280.69780300000002</v>
      </c>
    </row>
    <row r="4" spans="1:27" x14ac:dyDescent="0.45">
      <c r="A4" t="s">
        <v>1009</v>
      </c>
      <c r="B4" t="s">
        <v>142</v>
      </c>
      <c r="C4" t="s">
        <v>1011</v>
      </c>
      <c r="D4" t="s">
        <v>94</v>
      </c>
      <c r="E4" t="s">
        <v>1012</v>
      </c>
      <c r="F4">
        <v>1</v>
      </c>
      <c r="L4" s="108">
        <v>280.69780300000002</v>
      </c>
      <c r="M4" s="108">
        <v>289.15427399999999</v>
      </c>
      <c r="N4" s="108">
        <v>295.13735100000002</v>
      </c>
      <c r="O4" s="108">
        <v>298.65360800000002</v>
      </c>
      <c r="P4" s="108">
        <v>300.36960900000003</v>
      </c>
      <c r="Q4" s="108">
        <v>300.22295200000002</v>
      </c>
      <c r="R4" s="107">
        <f>(Q4/L4)^(1/(Q$2-L$2))-1</f>
        <v>2.6934895623755839E-3</v>
      </c>
    </row>
    <row r="5" spans="1:27" x14ac:dyDescent="0.45">
      <c r="A5" t="s">
        <v>1009</v>
      </c>
      <c r="B5" t="s">
        <v>143</v>
      </c>
      <c r="C5" t="s">
        <v>1011</v>
      </c>
      <c r="D5" t="s">
        <v>94</v>
      </c>
      <c r="E5" t="s">
        <v>1012</v>
      </c>
      <c r="F5">
        <v>1</v>
      </c>
      <c r="L5" s="108">
        <v>280.69780300000002</v>
      </c>
      <c r="M5" s="108">
        <v>290.59563300000002</v>
      </c>
      <c r="N5" s="108">
        <v>298.62783899999999</v>
      </c>
      <c r="O5" s="108">
        <v>304.63792000000001</v>
      </c>
      <c r="P5" s="108">
        <v>308.58162900000002</v>
      </c>
      <c r="Q5" s="108">
        <v>310.59628800000002</v>
      </c>
      <c r="R5" s="107">
        <f t="shared" ref="R5:R8" si="0">(Q5/L5)^(1/(Q$2-L$2))-1</f>
        <v>4.0568188257759097E-3</v>
      </c>
    </row>
    <row r="6" spans="1:27" x14ac:dyDescent="0.45">
      <c r="A6" t="s">
        <v>1009</v>
      </c>
      <c r="B6" t="s">
        <v>144</v>
      </c>
      <c r="C6" t="s">
        <v>1011</v>
      </c>
      <c r="D6" t="s">
        <v>94</v>
      </c>
      <c r="E6" t="s">
        <v>1012</v>
      </c>
      <c r="F6">
        <v>1</v>
      </c>
      <c r="L6" s="108">
        <v>280.69780300000002</v>
      </c>
      <c r="M6" s="108">
        <v>292.15037699999999</v>
      </c>
      <c r="N6" s="108">
        <v>302.37605000000002</v>
      </c>
      <c r="O6" s="108">
        <v>311.08326899999997</v>
      </c>
      <c r="P6" s="108">
        <v>317.61619000000002</v>
      </c>
      <c r="Q6" s="108">
        <v>322.45236199999999</v>
      </c>
      <c r="R6" s="107">
        <f t="shared" si="0"/>
        <v>5.5624836452319304E-3</v>
      </c>
    </row>
    <row r="7" spans="1:27" x14ac:dyDescent="0.45">
      <c r="A7" t="s">
        <v>1009</v>
      </c>
      <c r="B7" t="s">
        <v>1013</v>
      </c>
      <c r="C7" t="s">
        <v>1011</v>
      </c>
      <c r="D7" t="s">
        <v>94</v>
      </c>
      <c r="E7" t="s">
        <v>1012</v>
      </c>
      <c r="F7">
        <v>1</v>
      </c>
      <c r="L7" s="108">
        <v>280.69780300000002</v>
      </c>
      <c r="M7" s="108">
        <v>292.03410500000001</v>
      </c>
      <c r="N7" s="108">
        <v>302.04068699999999</v>
      </c>
      <c r="O7" s="108">
        <v>310.45272799999998</v>
      </c>
      <c r="P7" s="108">
        <v>316.62836600000003</v>
      </c>
      <c r="Q7" s="108">
        <v>321.039286</v>
      </c>
      <c r="R7" s="107">
        <f t="shared" si="0"/>
        <v>5.385845617964069E-3</v>
      </c>
    </row>
    <row r="8" spans="1:27" x14ac:dyDescent="0.45">
      <c r="A8" t="s">
        <v>1009</v>
      </c>
      <c r="B8" t="s">
        <v>1014</v>
      </c>
      <c r="C8" t="s">
        <v>1011</v>
      </c>
      <c r="D8" t="s">
        <v>94</v>
      </c>
      <c r="E8" t="s">
        <v>1012</v>
      </c>
      <c r="F8">
        <v>1</v>
      </c>
      <c r="L8" s="108">
        <v>280.69780300000002</v>
      </c>
      <c r="M8" s="108">
        <v>289.02193</v>
      </c>
      <c r="N8" s="108">
        <v>294.86175600000001</v>
      </c>
      <c r="O8" s="108">
        <v>298.228769</v>
      </c>
      <c r="P8" s="108">
        <v>299.79435699999999</v>
      </c>
      <c r="Q8" s="108">
        <v>299.50145900000001</v>
      </c>
      <c r="R8" s="107">
        <f t="shared" si="0"/>
        <v>2.596991656637293E-3</v>
      </c>
    </row>
    <row r="10" spans="1:27" x14ac:dyDescent="0.45">
      <c r="C10" t="s">
        <v>1011</v>
      </c>
      <c r="O10" s="41"/>
    </row>
    <row r="11" spans="1:27" x14ac:dyDescent="0.45">
      <c r="A11" t="s">
        <v>1049</v>
      </c>
    </row>
    <row r="12" spans="1:27" x14ac:dyDescent="0.45">
      <c r="A12" s="45"/>
    </row>
    <row r="15" spans="1:27" x14ac:dyDescent="0.45">
      <c r="A15" t="s">
        <v>1003</v>
      </c>
      <c r="B15" t="s">
        <v>1004</v>
      </c>
      <c r="C15" t="s">
        <v>1005</v>
      </c>
      <c r="D15" t="s">
        <v>1006</v>
      </c>
      <c r="E15" t="s">
        <v>1007</v>
      </c>
      <c r="F15" t="s">
        <v>1008</v>
      </c>
      <c r="I15">
        <v>2010</v>
      </c>
      <c r="J15">
        <v>2015</v>
      </c>
      <c r="K15">
        <v>2020</v>
      </c>
      <c r="L15">
        <v>2025</v>
      </c>
      <c r="M15">
        <v>2030</v>
      </c>
      <c r="N15">
        <v>2035</v>
      </c>
      <c r="O15">
        <v>2040</v>
      </c>
      <c r="P15">
        <v>2045</v>
      </c>
      <c r="Q15">
        <v>2050</v>
      </c>
      <c r="R15" s="106" t="s">
        <v>1015</v>
      </c>
    </row>
    <row r="16" spans="1:27" x14ac:dyDescent="0.45">
      <c r="A16" t="s">
        <v>1042</v>
      </c>
      <c r="B16" t="s">
        <v>1043</v>
      </c>
      <c r="C16" t="s">
        <v>1011</v>
      </c>
      <c r="D16" t="s">
        <v>94</v>
      </c>
      <c r="E16" t="s">
        <v>1012</v>
      </c>
      <c r="F16">
        <v>1</v>
      </c>
      <c r="I16" s="116">
        <v>239.870937015142</v>
      </c>
      <c r="J16" s="116">
        <v>250.50551668769</v>
      </c>
      <c r="K16">
        <v>259.29860043055101</v>
      </c>
      <c r="L16" s="116">
        <v>265.93929580176399</v>
      </c>
      <c r="M16" s="116">
        <v>270.46610763988502</v>
      </c>
      <c r="N16" s="116">
        <v>273.39553898837198</v>
      </c>
      <c r="O16" s="116">
        <v>274.52057301699398</v>
      </c>
      <c r="P16" s="116">
        <v>273.77237186392199</v>
      </c>
      <c r="Q16">
        <v>271.071331164637</v>
      </c>
      <c r="R16" s="117">
        <f>(Q16/L16)^(1/(Q$2-L$2))-1</f>
        <v>7.6484952467814615E-4</v>
      </c>
      <c r="S16" s="116"/>
      <c r="T16" s="116"/>
      <c r="U16" s="116"/>
      <c r="V16" s="116"/>
      <c r="W16" s="116"/>
      <c r="X16" s="116"/>
      <c r="Y16" s="116"/>
      <c r="Z16" s="116"/>
      <c r="AA16" s="116"/>
    </row>
    <row r="17" spans="1:27" x14ac:dyDescent="0.45">
      <c r="A17" t="s">
        <v>1042</v>
      </c>
      <c r="B17" t="s">
        <v>1044</v>
      </c>
      <c r="C17" t="s">
        <v>1011</v>
      </c>
      <c r="D17" t="s">
        <v>94</v>
      </c>
      <c r="E17" t="s">
        <v>1012</v>
      </c>
      <c r="F17">
        <v>1</v>
      </c>
      <c r="I17" s="116">
        <v>239.870937015142</v>
      </c>
      <c r="J17" s="116">
        <v>251.39584044050301</v>
      </c>
      <c r="K17" s="116">
        <v>261.70485457582902</v>
      </c>
      <c r="L17" s="116">
        <v>270.39511097815699</v>
      </c>
      <c r="M17" s="116">
        <v>277.36384735771702</v>
      </c>
      <c r="N17" s="116">
        <v>282.72321229594598</v>
      </c>
      <c r="O17" s="116">
        <v>286.313966148882</v>
      </c>
      <c r="P17" s="116">
        <v>287.957541229735</v>
      </c>
      <c r="Q17" s="116">
        <v>287.52219567413601</v>
      </c>
      <c r="R17" s="117">
        <f t="shared" ref="R17:R20" si="1">(Q17/L17)^(1/(Q$2-L$2))-1</f>
        <v>2.4596518444852666E-3</v>
      </c>
      <c r="S17" s="116"/>
      <c r="T17" s="116"/>
      <c r="U17" s="116"/>
      <c r="V17" s="116"/>
      <c r="W17" s="116"/>
      <c r="X17" s="116"/>
      <c r="Y17" s="116"/>
      <c r="AA17" s="116"/>
    </row>
    <row r="18" spans="1:27" x14ac:dyDescent="0.45">
      <c r="A18" t="s">
        <v>1042</v>
      </c>
      <c r="B18" t="s">
        <v>1045</v>
      </c>
      <c r="C18" t="s">
        <v>1011</v>
      </c>
      <c r="D18" t="s">
        <v>94</v>
      </c>
      <c r="E18" t="s">
        <v>1012</v>
      </c>
      <c r="F18">
        <v>1</v>
      </c>
      <c r="I18" s="116">
        <v>239.870937015142</v>
      </c>
      <c r="J18" s="116">
        <v>252.26950851600401</v>
      </c>
      <c r="K18" s="116">
        <v>264.21412007829701</v>
      </c>
      <c r="L18" s="116">
        <v>275.22346237674901</v>
      </c>
      <c r="M18" s="116">
        <v>285.08164902989</v>
      </c>
      <c r="N18" s="116">
        <v>293.06848745167099</v>
      </c>
      <c r="O18" s="116">
        <v>299.27254423454298</v>
      </c>
      <c r="P18" s="116">
        <v>303.86015788761199</v>
      </c>
      <c r="Q18" s="116">
        <v>306.913273665568</v>
      </c>
      <c r="R18" s="117">
        <f t="shared" si="1"/>
        <v>4.3687895900739182E-3</v>
      </c>
      <c r="S18" s="116"/>
      <c r="T18" s="116"/>
      <c r="U18" s="116"/>
      <c r="V18" s="116"/>
      <c r="W18" s="116"/>
      <c r="X18" s="116"/>
      <c r="Y18" s="116"/>
      <c r="Z18" s="116"/>
      <c r="AA18" s="116"/>
    </row>
    <row r="19" spans="1:27" x14ac:dyDescent="0.45">
      <c r="A19" t="s">
        <v>1042</v>
      </c>
      <c r="B19" t="s">
        <v>1046</v>
      </c>
      <c r="C19" t="s">
        <v>1011</v>
      </c>
      <c r="D19" t="s">
        <v>94</v>
      </c>
      <c r="E19" t="s">
        <v>1012</v>
      </c>
      <c r="F19">
        <v>1</v>
      </c>
      <c r="I19" s="108">
        <v>239.870937015142</v>
      </c>
      <c r="J19" s="108">
        <v>250.242990979734</v>
      </c>
      <c r="K19" s="108">
        <v>258.52169825954297</v>
      </c>
      <c r="L19" s="108">
        <v>264.35108441766101</v>
      </c>
      <c r="M19" s="108">
        <v>267.77052428975003</v>
      </c>
      <c r="N19" s="108">
        <v>269.29158546003202</v>
      </c>
      <c r="O19" s="108">
        <v>268.71721103409499</v>
      </c>
      <c r="P19" s="108">
        <v>266.00148522957198</v>
      </c>
      <c r="Q19" s="108">
        <v>261.10281511232898</v>
      </c>
      <c r="R19" s="117">
        <f t="shared" si="1"/>
        <v>-4.9443082837941077E-4</v>
      </c>
      <c r="S19" s="108"/>
      <c r="T19" s="108"/>
    </row>
    <row r="20" spans="1:27" x14ac:dyDescent="0.45">
      <c r="A20" t="s">
        <v>1042</v>
      </c>
      <c r="B20" t="s">
        <v>1047</v>
      </c>
      <c r="C20" t="s">
        <v>1011</v>
      </c>
      <c r="D20" t="s">
        <v>94</v>
      </c>
      <c r="E20" t="s">
        <v>1012</v>
      </c>
      <c r="F20">
        <v>1</v>
      </c>
      <c r="I20" s="108">
        <v>239.870937015142</v>
      </c>
      <c r="J20" s="108">
        <v>250.342799269805</v>
      </c>
      <c r="K20" s="108">
        <v>258.89642175662601</v>
      </c>
      <c r="L20" s="108">
        <v>265.17644562178498</v>
      </c>
      <c r="M20" s="108">
        <v>269.33480229051401</v>
      </c>
      <c r="N20" s="108">
        <v>271.89481253005403</v>
      </c>
      <c r="O20" s="108">
        <v>272.661346775678</v>
      </c>
      <c r="P20" s="108">
        <v>271.57231760979602</v>
      </c>
      <c r="Q20" s="108">
        <v>268.55215971656401</v>
      </c>
      <c r="R20" s="117">
        <f t="shared" si="1"/>
        <v>5.0611689417756622E-4</v>
      </c>
      <c r="S20" s="108"/>
      <c r="T20" s="108"/>
    </row>
    <row r="21" spans="1:27" x14ac:dyDescent="0.45">
      <c r="A21" t="s">
        <v>1048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6EF9-AA64-44CC-9838-CD120B5E241C}">
  <dimension ref="A1:S39"/>
  <sheetViews>
    <sheetView zoomScaleNormal="100" workbookViewId="0">
      <selection activeCell="H2" sqref="H2:H4"/>
    </sheetView>
  </sheetViews>
  <sheetFormatPr defaultRowHeight="14.25" x14ac:dyDescent="0.45"/>
  <cols>
    <col min="1" max="3" width="22.53125" customWidth="1"/>
    <col min="4" max="4" width="16.73046875" customWidth="1"/>
    <col min="5" max="5" width="12.3984375" customWidth="1"/>
    <col min="6" max="6" width="14.265625" bestFit="1" customWidth="1"/>
    <col min="7" max="8" width="14.33203125" bestFit="1" customWidth="1"/>
    <col min="12" max="12" width="14.53125" customWidth="1"/>
    <col min="21" max="21" width="14.3984375" bestFit="1" customWidth="1"/>
  </cols>
  <sheetData>
    <row r="1" spans="1:9" x14ac:dyDescent="0.45">
      <c r="A1" s="48" t="s">
        <v>1027</v>
      </c>
      <c r="B1" s="48" t="s">
        <v>1037</v>
      </c>
      <c r="C1" s="48"/>
      <c r="D1" s="48">
        <v>2010</v>
      </c>
      <c r="E1" s="48">
        <v>2025</v>
      </c>
      <c r="F1" s="48">
        <v>2050</v>
      </c>
      <c r="G1" s="48" t="s">
        <v>1030</v>
      </c>
      <c r="H1" s="48" t="s">
        <v>1026</v>
      </c>
      <c r="I1" t="s">
        <v>1035</v>
      </c>
    </row>
    <row r="2" spans="1:9" x14ac:dyDescent="0.45">
      <c r="A2" t="s">
        <v>1023</v>
      </c>
      <c r="B2" t="s">
        <v>1023</v>
      </c>
      <c r="D2" s="42">
        <v>9607.7999999999993</v>
      </c>
      <c r="E2" s="42">
        <f>5360.83+5371.15</f>
        <v>10731.98</v>
      </c>
      <c r="F2" s="42">
        <f>4713.96+5057.1</f>
        <v>9771.0600000000013</v>
      </c>
      <c r="G2" s="41">
        <f>(E2/D2)^(1/(E$1-D$1))-1</f>
        <v>7.4041293719941947E-3</v>
      </c>
      <c r="H2" s="41">
        <f>(F2/E2)^(1/25)-1</f>
        <v>-3.7450941129900661E-3</v>
      </c>
    </row>
    <row r="3" spans="1:9" x14ac:dyDescent="0.45">
      <c r="A3" t="s">
        <v>1024</v>
      </c>
      <c r="B3" t="s">
        <v>1036</v>
      </c>
      <c r="D3" s="42">
        <v>43227.1</v>
      </c>
      <c r="E3" s="42">
        <f>25682.12+25076.89</f>
        <v>50759.009999999995</v>
      </c>
      <c r="F3" s="42">
        <f>28457.12+28939.73</f>
        <v>57396.85</v>
      </c>
      <c r="G3" s="41">
        <f>(E3/D3)^(1/(E$1-D$1))-1</f>
        <v>1.076563862311275E-2</v>
      </c>
      <c r="H3" s="41">
        <f>(F3/E3)^(1/25)-1</f>
        <v>4.9281147957871418E-3</v>
      </c>
    </row>
    <row r="4" spans="1:9" x14ac:dyDescent="0.45">
      <c r="A4" t="s">
        <v>1025</v>
      </c>
      <c r="B4" t="s">
        <v>1025</v>
      </c>
      <c r="D4" s="42">
        <v>10632.2</v>
      </c>
      <c r="E4" s="42">
        <f>6369.7+6167.74</f>
        <v>12537.439999999999</v>
      </c>
      <c r="F4" s="42">
        <f>7110.99+7216.52</f>
        <v>14327.51</v>
      </c>
      <c r="G4" s="41">
        <f>(E4/D4)^(1/(E$1-D$1))-1</f>
        <v>1.1049414485564402E-2</v>
      </c>
      <c r="H4" s="41">
        <f>(F4/E4)^(1/25)-1</f>
        <v>5.3527590071231756E-3</v>
      </c>
    </row>
    <row r="6" spans="1:9" x14ac:dyDescent="0.45">
      <c r="A6" s="48" t="s">
        <v>1028</v>
      </c>
      <c r="B6" s="48" t="s">
        <v>1029</v>
      </c>
      <c r="C6" s="48"/>
      <c r="D6" s="48">
        <v>2010</v>
      </c>
      <c r="E6" s="48">
        <v>2025</v>
      </c>
      <c r="F6" s="113" t="s">
        <v>156</v>
      </c>
      <c r="G6" s="48" t="s">
        <v>1034</v>
      </c>
      <c r="H6" s="48" t="s">
        <v>156</v>
      </c>
    </row>
    <row r="7" spans="1:9" x14ac:dyDescent="0.45">
      <c r="A7" t="s">
        <v>67</v>
      </c>
      <c r="B7" t="s">
        <v>907</v>
      </c>
      <c r="D7" s="42">
        <v>2062.1999999999998</v>
      </c>
      <c r="E7" s="42">
        <v>2219.2249999999999</v>
      </c>
      <c r="G7" s="41">
        <f t="shared" ref="G7:G19" si="0">(E7/D7)^(1/(E$6-D$6))-1</f>
        <v>4.9042976745643507E-3</v>
      </c>
    </row>
    <row r="8" spans="1:9" x14ac:dyDescent="0.45">
      <c r="A8" t="s">
        <v>69</v>
      </c>
      <c r="B8" t="s">
        <v>909</v>
      </c>
      <c r="D8" s="42">
        <v>2693.9</v>
      </c>
      <c r="E8" s="42">
        <v>3085.058</v>
      </c>
      <c r="G8" s="41">
        <f t="shared" si="0"/>
        <v>9.0796724052257805E-3</v>
      </c>
      <c r="I8" t="s">
        <v>1031</v>
      </c>
    </row>
    <row r="9" spans="1:9" x14ac:dyDescent="0.45">
      <c r="A9" t="s">
        <v>71</v>
      </c>
      <c r="B9" t="s">
        <v>911</v>
      </c>
      <c r="D9" s="42">
        <v>903</v>
      </c>
      <c r="E9" s="42">
        <v>1038.396</v>
      </c>
      <c r="G9" s="41">
        <f t="shared" si="0"/>
        <v>9.3575062705304468E-3</v>
      </c>
    </row>
    <row r="10" spans="1:9" x14ac:dyDescent="0.45">
      <c r="A10" t="s">
        <v>73</v>
      </c>
      <c r="B10" t="s">
        <v>913</v>
      </c>
      <c r="D10" s="42">
        <v>2282</v>
      </c>
      <c r="E10" s="42">
        <v>2487.1990000000001</v>
      </c>
      <c r="G10" s="41">
        <f t="shared" si="0"/>
        <v>5.7568356733390669E-3</v>
      </c>
    </row>
    <row r="11" spans="1:9" x14ac:dyDescent="0.45">
      <c r="A11" t="s">
        <v>75</v>
      </c>
      <c r="B11" t="s">
        <v>915</v>
      </c>
      <c r="D11" s="42">
        <v>1645.7</v>
      </c>
      <c r="E11" s="42">
        <v>1819.009</v>
      </c>
      <c r="G11" s="41">
        <f t="shared" si="0"/>
        <v>6.6973960314997694E-3</v>
      </c>
    </row>
    <row r="12" spans="1:9" x14ac:dyDescent="0.45">
      <c r="A12" t="s">
        <v>77</v>
      </c>
      <c r="B12" t="s">
        <v>919</v>
      </c>
      <c r="D12" s="42">
        <v>4813.8999999999996</v>
      </c>
      <c r="E12" s="42">
        <v>5721.6</v>
      </c>
      <c r="G12" s="41">
        <f t="shared" si="0"/>
        <v>1.1582626455537426E-2</v>
      </c>
      <c r="I12" t="s">
        <v>1032</v>
      </c>
    </row>
    <row r="13" spans="1:9" x14ac:dyDescent="0.45">
      <c r="A13" t="s">
        <v>79</v>
      </c>
      <c r="B13" t="s">
        <v>923</v>
      </c>
      <c r="D13" s="42">
        <v>2656.9</v>
      </c>
      <c r="E13" s="42">
        <v>3303</v>
      </c>
      <c r="G13" s="41">
        <f t="shared" si="0"/>
        <v>1.4617209420111799E-2</v>
      </c>
    </row>
    <row r="14" spans="1:9" x14ac:dyDescent="0.45">
      <c r="A14" t="s">
        <v>81</v>
      </c>
      <c r="B14" t="s">
        <v>917</v>
      </c>
      <c r="D14" s="42">
        <v>958.1</v>
      </c>
      <c r="E14" s="42">
        <v>1083.8</v>
      </c>
      <c r="G14" s="41">
        <f t="shared" si="0"/>
        <v>8.252297797987973E-3</v>
      </c>
    </row>
    <row r="15" spans="1:9" x14ac:dyDescent="0.45">
      <c r="A15" t="s">
        <v>83</v>
      </c>
      <c r="B15" t="s">
        <v>921</v>
      </c>
      <c r="D15" s="42">
        <v>2356.1</v>
      </c>
      <c r="E15" s="42">
        <v>2648.3</v>
      </c>
      <c r="G15" s="41">
        <f t="shared" si="0"/>
        <v>7.8244667270077617E-3</v>
      </c>
    </row>
    <row r="16" spans="1:9" x14ac:dyDescent="0.45">
      <c r="A16" t="s">
        <v>85</v>
      </c>
      <c r="B16" t="s">
        <v>925</v>
      </c>
      <c r="D16" s="42">
        <v>1755.6</v>
      </c>
      <c r="E16" s="42">
        <v>2168</v>
      </c>
      <c r="G16" s="41">
        <f t="shared" si="0"/>
        <v>1.4165689454941122E-2</v>
      </c>
    </row>
    <row r="17" spans="1:19" x14ac:dyDescent="0.45">
      <c r="A17" t="s">
        <v>87</v>
      </c>
      <c r="B17" t="s">
        <v>931</v>
      </c>
      <c r="D17" s="42">
        <v>2834.4</v>
      </c>
      <c r="E17" s="42">
        <v>3435.2</v>
      </c>
      <c r="G17" s="41">
        <f t="shared" si="0"/>
        <v>1.2898805988379003E-2</v>
      </c>
      <c r="I17" t="s">
        <v>1033</v>
      </c>
    </row>
    <row r="18" spans="1:19" x14ac:dyDescent="0.45">
      <c r="A18" t="s">
        <v>89</v>
      </c>
      <c r="B18" t="s">
        <v>927</v>
      </c>
      <c r="D18" s="42">
        <v>1798.6</v>
      </c>
      <c r="E18" s="42">
        <v>1971.7</v>
      </c>
      <c r="G18" s="41">
        <f t="shared" si="0"/>
        <v>6.1446366537905028E-3</v>
      </c>
    </row>
    <row r="19" spans="1:19" x14ac:dyDescent="0.45">
      <c r="A19" t="s">
        <v>91</v>
      </c>
      <c r="B19" t="s">
        <v>929</v>
      </c>
      <c r="D19" s="42">
        <v>1290.3</v>
      </c>
      <c r="E19" s="42">
        <v>1402.2</v>
      </c>
      <c r="G19" s="41">
        <f t="shared" si="0"/>
        <v>5.559911409149576E-3</v>
      </c>
    </row>
    <row r="20" spans="1:19" x14ac:dyDescent="0.45">
      <c r="D20" s="42"/>
      <c r="E20" s="42"/>
      <c r="G20" s="41"/>
    </row>
    <row r="21" spans="1:19" x14ac:dyDescent="0.45">
      <c r="A21" s="48" t="s">
        <v>1038</v>
      </c>
    </row>
    <row r="22" spans="1:19" x14ac:dyDescent="0.45">
      <c r="A22" s="48" t="s">
        <v>1028</v>
      </c>
      <c r="B22" s="48" t="s">
        <v>1029</v>
      </c>
      <c r="C22" s="114">
        <v>2000</v>
      </c>
      <c r="D22" s="114">
        <v>2010</v>
      </c>
      <c r="E22" s="114">
        <v>2025</v>
      </c>
      <c r="F22" s="115" t="s">
        <v>1040</v>
      </c>
      <c r="G22" s="115" t="s">
        <v>1039</v>
      </c>
      <c r="H22" s="115" t="s">
        <v>1019</v>
      </c>
      <c r="M22" s="108"/>
      <c r="N22" s="108"/>
      <c r="O22" s="108"/>
      <c r="P22" s="108"/>
      <c r="Q22" s="108"/>
      <c r="R22" s="108"/>
      <c r="S22" s="108"/>
    </row>
    <row r="23" spans="1:19" x14ac:dyDescent="0.45">
      <c r="A23" t="s">
        <v>67</v>
      </c>
      <c r="B23" t="s">
        <v>907</v>
      </c>
      <c r="C23" s="43">
        <f>GHSL!H2/1000</f>
        <v>1803.2926075614139</v>
      </c>
      <c r="D23" s="43">
        <f>GHSL!J2/1000</f>
        <v>2034.2901751584959</v>
      </c>
      <c r="E23" s="43">
        <f>GHSL!M2/1000</f>
        <v>2363.253006613691</v>
      </c>
      <c r="F23" s="107">
        <f t="shared" ref="F23:F35" si="1">(D23/C23)^(1/(D$22-C$22))-1</f>
        <v>1.2126206372905513E-2</v>
      </c>
      <c r="G23" s="107">
        <f t="shared" ref="G23:G35" si="2">(E23/D23)^(1/(E$22-D$22))-1</f>
        <v>1.0042902343893712E-2</v>
      </c>
      <c r="H23" s="107">
        <f t="shared" ref="H23:H35" si="3">(E23/C23)^(1/(E$22-C$22))-1</f>
        <v>1.0875708881810331E-2</v>
      </c>
      <c r="M23" s="108"/>
      <c r="N23" s="108"/>
      <c r="O23" s="108"/>
      <c r="P23" s="108"/>
      <c r="Q23" s="108"/>
      <c r="R23" s="108"/>
      <c r="S23" s="108"/>
    </row>
    <row r="24" spans="1:19" x14ac:dyDescent="0.45">
      <c r="A24" t="s">
        <v>69</v>
      </c>
      <c r="B24" t="s">
        <v>909</v>
      </c>
      <c r="C24" s="43">
        <f>GHSL!H3/1000</f>
        <v>2392.0213550587791</v>
      </c>
      <c r="D24" s="43">
        <f>GHSL!J3/1000</f>
        <v>2681.7839022960002</v>
      </c>
      <c r="E24" s="43">
        <f>GHSL!M3/1000</f>
        <v>3108.4189734208799</v>
      </c>
      <c r="F24" s="107">
        <f t="shared" si="1"/>
        <v>1.1499966445073673E-2</v>
      </c>
      <c r="G24" s="107">
        <f t="shared" si="2"/>
        <v>9.890727761949325E-3</v>
      </c>
      <c r="H24" s="107">
        <f t="shared" si="3"/>
        <v>1.0534115782063536E-2</v>
      </c>
      <c r="M24" s="108"/>
      <c r="N24" s="108"/>
      <c r="O24" s="108"/>
      <c r="P24" s="108"/>
      <c r="Q24" s="108"/>
      <c r="R24" s="108"/>
      <c r="S24" s="108"/>
    </row>
    <row r="25" spans="1:19" x14ac:dyDescent="0.45">
      <c r="A25" t="s">
        <v>71</v>
      </c>
      <c r="B25" t="s">
        <v>911</v>
      </c>
      <c r="C25" s="43">
        <f>GHSL!H4/1000</f>
        <v>848.618202497938</v>
      </c>
      <c r="D25" s="43">
        <f>GHSL!J4/1000</f>
        <v>857.79926031026969</v>
      </c>
      <c r="E25" s="43">
        <f>GHSL!M4/1000</f>
        <v>958.47502806811349</v>
      </c>
      <c r="F25" s="107">
        <f t="shared" si="1"/>
        <v>1.0766518940814596E-3</v>
      </c>
      <c r="G25" s="107">
        <f t="shared" si="2"/>
        <v>7.4256611081333634E-3</v>
      </c>
      <c r="H25" s="107">
        <f t="shared" si="3"/>
        <v>4.8812396816937387E-3</v>
      </c>
      <c r="M25" s="108"/>
      <c r="N25" s="108"/>
      <c r="O25" s="108"/>
      <c r="P25" s="108"/>
      <c r="Q25" s="108"/>
      <c r="R25" s="108"/>
      <c r="S25" s="108"/>
    </row>
    <row r="26" spans="1:19" x14ac:dyDescent="0.45">
      <c r="A26" t="s">
        <v>73</v>
      </c>
      <c r="B26" t="s">
        <v>913</v>
      </c>
      <c r="C26" s="43">
        <f>GHSL!H5/1000</f>
        <v>2039.5172257641661</v>
      </c>
      <c r="D26" s="43">
        <f>GHSL!J5/1000</f>
        <v>2379.3206689515737</v>
      </c>
      <c r="E26" s="43">
        <f>GHSL!M5/1000</f>
        <v>2791.9953070746319</v>
      </c>
      <c r="F26" s="107">
        <f t="shared" si="1"/>
        <v>1.5529538027349243E-2</v>
      </c>
      <c r="G26" s="107">
        <f t="shared" si="2"/>
        <v>1.0719815900857466E-2</v>
      </c>
      <c r="H26" s="107">
        <f t="shared" si="3"/>
        <v>1.2640965132174831E-2</v>
      </c>
      <c r="M26" s="108"/>
      <c r="N26" s="108"/>
      <c r="O26" s="108"/>
      <c r="P26" s="108"/>
      <c r="Q26" s="108"/>
      <c r="R26" s="108"/>
      <c r="S26" s="108"/>
    </row>
    <row r="27" spans="1:19" x14ac:dyDescent="0.45">
      <c r="A27" t="s">
        <v>75</v>
      </c>
      <c r="B27" t="s">
        <v>915</v>
      </c>
      <c r="C27" s="43">
        <f>GHSL!H6/1000</f>
        <v>1467.01629334112</v>
      </c>
      <c r="D27" s="43">
        <f>GHSL!J6/1000</f>
        <v>1640.6355229257449</v>
      </c>
      <c r="E27" s="43">
        <f>GHSL!M6/1000</f>
        <v>1896.765474766908</v>
      </c>
      <c r="F27" s="107">
        <f t="shared" si="1"/>
        <v>1.1248096948037745E-2</v>
      </c>
      <c r="G27" s="107">
        <f t="shared" si="2"/>
        <v>9.7180076619081124E-3</v>
      </c>
      <c r="H27" s="107">
        <f t="shared" si="3"/>
        <v>1.0329765364129218E-2</v>
      </c>
      <c r="M27" s="108"/>
      <c r="N27" s="108"/>
      <c r="O27" s="108"/>
      <c r="P27" s="108"/>
      <c r="Q27" s="108"/>
      <c r="R27" s="108"/>
      <c r="S27" s="108"/>
    </row>
    <row r="28" spans="1:19" x14ac:dyDescent="0.45">
      <c r="A28" t="s">
        <v>77</v>
      </c>
      <c r="B28" t="s">
        <v>919</v>
      </c>
      <c r="C28" s="43">
        <f>GHSL!H7/1000</f>
        <v>3678.2784586566518</v>
      </c>
      <c r="D28" s="43">
        <f>GHSL!J7/1000</f>
        <v>4904.4341287423431</v>
      </c>
      <c r="E28" s="43">
        <f>GHSL!M7/1000</f>
        <v>5997.9582434312506</v>
      </c>
      <c r="F28" s="107">
        <f t="shared" si="1"/>
        <v>2.9187327880336289E-2</v>
      </c>
      <c r="G28" s="107">
        <f t="shared" si="2"/>
        <v>1.3509060375941573E-2</v>
      </c>
      <c r="H28" s="107">
        <f t="shared" si="3"/>
        <v>1.9751501301109808E-2</v>
      </c>
      <c r="M28" s="108"/>
      <c r="N28" s="108"/>
      <c r="O28" s="108"/>
      <c r="P28" s="108"/>
      <c r="Q28" s="108"/>
      <c r="R28" s="108"/>
      <c r="S28" s="108"/>
    </row>
    <row r="29" spans="1:19" x14ac:dyDescent="0.45">
      <c r="A29" t="s">
        <v>79</v>
      </c>
      <c r="B29" t="s">
        <v>923</v>
      </c>
      <c r="C29" s="43">
        <f>GHSL!H8/1000</f>
        <v>1839.0894902178488</v>
      </c>
      <c r="D29" s="43">
        <f>GHSL!J8/1000</f>
        <v>2822.550760080997</v>
      </c>
      <c r="E29" s="43">
        <f>GHSL!M8/1000</f>
        <v>3614.5168987680117</v>
      </c>
      <c r="F29" s="107">
        <f t="shared" si="1"/>
        <v>4.3767787975266037E-2</v>
      </c>
      <c r="G29" s="107">
        <f t="shared" si="2"/>
        <v>1.6624487972282775E-2</v>
      </c>
      <c r="H29" s="107">
        <f t="shared" si="3"/>
        <v>2.739605995196559E-2</v>
      </c>
      <c r="M29" s="108"/>
      <c r="N29" s="108"/>
      <c r="O29" s="108"/>
      <c r="P29" s="108"/>
      <c r="Q29" s="108"/>
      <c r="R29" s="108"/>
      <c r="S29" s="108"/>
    </row>
    <row r="30" spans="1:19" x14ac:dyDescent="0.45">
      <c r="A30" t="s">
        <v>81</v>
      </c>
      <c r="B30" t="s">
        <v>917</v>
      </c>
      <c r="C30" s="43">
        <f>GHSL!H9/1000</f>
        <v>812.37769556628416</v>
      </c>
      <c r="D30" s="43">
        <f>GHSL!J9/1000</f>
        <v>1004.4103675665871</v>
      </c>
      <c r="E30" s="43">
        <f>GHSL!M9/1000</f>
        <v>1268.864022583952</v>
      </c>
      <c r="F30" s="107">
        <f t="shared" si="1"/>
        <v>2.1445782495232102E-2</v>
      </c>
      <c r="G30" s="107">
        <f t="shared" si="2"/>
        <v>1.5703447287578554E-2</v>
      </c>
      <c r="H30" s="107">
        <f t="shared" si="3"/>
        <v>1.7996497321350446E-2</v>
      </c>
      <c r="M30" s="108"/>
      <c r="N30" s="108"/>
      <c r="O30" s="108"/>
      <c r="P30" s="108"/>
      <c r="Q30" s="108"/>
      <c r="R30" s="108"/>
      <c r="S30" s="108"/>
    </row>
    <row r="31" spans="1:19" x14ac:dyDescent="0.45">
      <c r="A31" t="s">
        <v>83</v>
      </c>
      <c r="B31" t="s">
        <v>921</v>
      </c>
      <c r="C31" s="43">
        <f>GHSL!H10/1000</f>
        <v>1720.082530953862</v>
      </c>
      <c r="D31" s="43">
        <f>GHSL!J10/1000</f>
        <v>2320.8928192696094</v>
      </c>
      <c r="E31" s="43">
        <f>GHSL!M10/1000</f>
        <v>3461.5466719560609</v>
      </c>
      <c r="F31" s="107">
        <f t="shared" si="1"/>
        <v>3.041122225812587E-2</v>
      </c>
      <c r="G31" s="107">
        <f t="shared" si="2"/>
        <v>2.7009215138993348E-2</v>
      </c>
      <c r="H31" s="107">
        <f t="shared" si="3"/>
        <v>2.8368668057259017E-2</v>
      </c>
      <c r="M31" s="108"/>
      <c r="N31" s="108"/>
      <c r="O31" s="108"/>
      <c r="P31" s="108"/>
      <c r="Q31" s="108"/>
      <c r="R31" s="108"/>
      <c r="S31" s="108"/>
    </row>
    <row r="32" spans="1:19" x14ac:dyDescent="0.45">
      <c r="A32" t="s">
        <v>85</v>
      </c>
      <c r="B32" t="s">
        <v>925</v>
      </c>
      <c r="C32" s="43">
        <f>GHSL!H11/1000</f>
        <v>1248.2341225886489</v>
      </c>
      <c r="D32" s="43">
        <f>GHSL!J11/1000</f>
        <v>1836.9704827274779</v>
      </c>
      <c r="E32" s="43">
        <f>GHSL!M11/1000</f>
        <v>3009.028856696174</v>
      </c>
      <c r="F32" s="107">
        <f t="shared" si="1"/>
        <v>3.939497465937114E-2</v>
      </c>
      <c r="G32" s="107">
        <f t="shared" si="2"/>
        <v>3.3447165228823739E-2</v>
      </c>
      <c r="H32" s="107">
        <f t="shared" si="3"/>
        <v>3.582219378400775E-2</v>
      </c>
      <c r="M32" s="108"/>
      <c r="N32" s="108"/>
      <c r="O32" s="108"/>
      <c r="P32" s="108"/>
      <c r="Q32" s="108"/>
      <c r="R32" s="108"/>
      <c r="S32" s="108"/>
    </row>
    <row r="33" spans="1:19" x14ac:dyDescent="0.45">
      <c r="A33" t="s">
        <v>87</v>
      </c>
      <c r="B33" t="s">
        <v>931</v>
      </c>
      <c r="C33" s="43">
        <f>GHSL!H12/1000</f>
        <v>2132.6747403125451</v>
      </c>
      <c r="D33" s="43">
        <f>GHSL!J12/1000</f>
        <v>3115.177268957179</v>
      </c>
      <c r="E33" s="43">
        <f>GHSL!M12/1000</f>
        <v>4259.1388684880694</v>
      </c>
      <c r="F33" s="107">
        <f t="shared" si="1"/>
        <v>3.8617925970609646E-2</v>
      </c>
      <c r="G33" s="107">
        <f t="shared" si="2"/>
        <v>2.1070985775200946E-2</v>
      </c>
      <c r="H33" s="107">
        <f t="shared" si="3"/>
        <v>2.8053904877763491E-2</v>
      </c>
      <c r="M33" s="108"/>
      <c r="N33" s="108"/>
      <c r="O33" s="108"/>
      <c r="P33" s="108"/>
      <c r="Q33" s="108"/>
      <c r="R33" s="108"/>
      <c r="S33" s="108"/>
    </row>
    <row r="34" spans="1:19" x14ac:dyDescent="0.45">
      <c r="A34" t="s">
        <v>89</v>
      </c>
      <c r="B34" t="s">
        <v>927</v>
      </c>
      <c r="C34" s="43">
        <f>GHSL!H13/1000</f>
        <v>1335.4323424479301</v>
      </c>
      <c r="D34" s="43">
        <f>GHSL!J13/1000</f>
        <v>1759.0622931934581</v>
      </c>
      <c r="E34" s="43">
        <f>GHSL!M13/1000</f>
        <v>2409.482562922246</v>
      </c>
      <c r="F34" s="107">
        <f t="shared" si="1"/>
        <v>2.7935661275559687E-2</v>
      </c>
      <c r="G34" s="107">
        <f t="shared" si="2"/>
        <v>2.1196939494120715E-2</v>
      </c>
      <c r="H34" s="107">
        <f t="shared" si="3"/>
        <v>2.3887110771614317E-2</v>
      </c>
      <c r="M34" s="108"/>
      <c r="N34" s="108"/>
      <c r="O34" s="108"/>
      <c r="P34" s="108"/>
      <c r="Q34" s="108"/>
      <c r="R34" s="108"/>
      <c r="S34" s="108"/>
    </row>
    <row r="35" spans="1:19" x14ac:dyDescent="0.45">
      <c r="A35" t="s">
        <v>91</v>
      </c>
      <c r="B35" t="s">
        <v>929</v>
      </c>
      <c r="C35" s="43">
        <f>GHSL!H14/1000</f>
        <v>952.03673062326789</v>
      </c>
      <c r="D35" s="43">
        <f>GHSL!J14/1000</f>
        <v>1330.3660716539662</v>
      </c>
      <c r="E35" s="43">
        <f>GHSL!M14/1000</f>
        <v>1780.8051718532049</v>
      </c>
      <c r="F35" s="107">
        <f t="shared" si="1"/>
        <v>3.4026682475606806E-2</v>
      </c>
      <c r="G35" s="107">
        <f t="shared" si="2"/>
        <v>1.9630966181803933E-2</v>
      </c>
      <c r="H35" s="107">
        <f t="shared" si="3"/>
        <v>2.5365045075919967E-2</v>
      </c>
      <c r="M35" s="108"/>
      <c r="N35" s="108"/>
      <c r="O35" s="108"/>
      <c r="P35" s="108"/>
      <c r="Q35" s="108"/>
      <c r="R35" s="108"/>
      <c r="S35" s="108"/>
    </row>
    <row r="36" spans="1:19" x14ac:dyDescent="0.45">
      <c r="C36" s="43"/>
      <c r="D36" s="43"/>
      <c r="E36" s="43"/>
      <c r="F36" s="107"/>
      <c r="G36" s="107"/>
      <c r="H36" s="108"/>
      <c r="M36" s="108"/>
      <c r="N36" s="108"/>
      <c r="O36" s="108"/>
      <c r="P36" s="108"/>
      <c r="Q36" s="108"/>
      <c r="R36" s="108"/>
      <c r="S36" s="108"/>
    </row>
    <row r="37" spans="1:19" x14ac:dyDescent="0.45">
      <c r="A37" s="98" t="s">
        <v>1016</v>
      </c>
      <c r="C37" s="43">
        <f>SUM(C23:C27)</f>
        <v>8550.4656842234162</v>
      </c>
      <c r="D37" s="43">
        <f>SUM(D23:D27)</f>
        <v>9593.8295296420838</v>
      </c>
      <c r="E37" s="43">
        <f>SUM(E23:E27)</f>
        <v>11118.907789944224</v>
      </c>
      <c r="F37" s="107">
        <f t="shared" ref="F37:G39" si="4">(D37/C37)^(1/(D$22-C$22))-1</f>
        <v>1.1579973441208979E-2</v>
      </c>
      <c r="G37" s="107">
        <f t="shared" si="4"/>
        <v>9.8836524384304791E-3</v>
      </c>
      <c r="H37" s="107">
        <f>(E37/C37)^(1/(E$22-C$22))-1</f>
        <v>1.0561839224354719E-2</v>
      </c>
      <c r="M37" s="108"/>
      <c r="N37" s="108"/>
      <c r="O37" s="108"/>
      <c r="P37" s="108"/>
      <c r="Q37" s="108"/>
      <c r="R37" s="108"/>
      <c r="S37" s="108"/>
    </row>
    <row r="38" spans="1:19" x14ac:dyDescent="0.45">
      <c r="A38" t="s">
        <v>1017</v>
      </c>
      <c r="C38" s="43">
        <f>SUM(C30:C32,C34,C35)</f>
        <v>6068.1634221799923</v>
      </c>
      <c r="D38" s="43">
        <f>SUM(D30:D32,D34,D35)</f>
        <v>8251.702034411097</v>
      </c>
      <c r="E38" s="43">
        <f>SUM(E30:E32,E34,E35)</f>
        <v>11929.727286011635</v>
      </c>
      <c r="F38" s="107">
        <f t="shared" si="4"/>
        <v>3.1213587893754502E-2</v>
      </c>
      <c r="G38" s="107">
        <f t="shared" si="4"/>
        <v>2.4878695094613157E-2</v>
      </c>
      <c r="H38" s="107">
        <f>(E38/C38)^(1/(E$22-C$22))-1</f>
        <v>2.7407968838458308E-2</v>
      </c>
      <c r="M38" s="108"/>
      <c r="N38" s="108"/>
      <c r="O38" s="108"/>
      <c r="P38" s="108"/>
      <c r="Q38" s="108"/>
      <c r="R38" s="108"/>
      <c r="S38" s="108"/>
    </row>
    <row r="39" spans="1:19" x14ac:dyDescent="0.45">
      <c r="A39" t="s">
        <v>1018</v>
      </c>
      <c r="C39" s="43">
        <f>SUM(C29,C33,C28)</f>
        <v>7650.0426891870457</v>
      </c>
      <c r="D39" s="43">
        <f>SUM(D29,D33,D28)</f>
        <v>10842.16215778052</v>
      </c>
      <c r="E39" s="43">
        <f>SUM(E29,E33,E28)</f>
        <v>13871.614010687332</v>
      </c>
      <c r="F39" s="107">
        <f t="shared" si="4"/>
        <v>3.5488318645049644E-2</v>
      </c>
      <c r="G39" s="107">
        <f t="shared" si="4"/>
        <v>1.6562472358352176E-2</v>
      </c>
      <c r="H39" s="107">
        <f>(E39/C39)^(1/(E$22-C$22))-1</f>
        <v>2.4090943472942161E-2</v>
      </c>
      <c r="M39" s="108"/>
      <c r="N39" s="108"/>
      <c r="O39" s="108"/>
      <c r="P39" s="108"/>
      <c r="Q39" s="108"/>
      <c r="R39" s="108"/>
      <c r="S39" s="10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2445-4D7D-48FB-BCD9-69BB7B23B1C2}">
  <dimension ref="A1:N48"/>
  <sheetViews>
    <sheetView tabSelected="1" zoomScale="115" zoomScaleNormal="115" workbookViewId="0">
      <selection activeCell="C2" sqref="C2"/>
    </sheetView>
  </sheetViews>
  <sheetFormatPr defaultRowHeight="14.25" x14ac:dyDescent="0.45"/>
  <cols>
    <col min="1" max="1" width="30.265625" customWidth="1"/>
    <col min="2" max="2" width="14" customWidth="1"/>
    <col min="3" max="3" width="14.59765625" bestFit="1" customWidth="1"/>
    <col min="4" max="4" width="11.59765625" bestFit="1" customWidth="1"/>
    <col min="5" max="5" width="10.59765625" bestFit="1" customWidth="1"/>
    <col min="6" max="6" width="11.59765625" bestFit="1" customWidth="1"/>
    <col min="7" max="7" width="13.796875" customWidth="1"/>
    <col min="8" max="10" width="13.59765625" bestFit="1" customWidth="1"/>
    <col min="11" max="11" width="20.06640625" customWidth="1"/>
    <col min="12" max="12" width="20.06640625" bestFit="1" customWidth="1"/>
    <col min="13" max="14" width="19.59765625" bestFit="1" customWidth="1"/>
  </cols>
  <sheetData>
    <row r="1" spans="1:14" x14ac:dyDescent="0.45">
      <c r="A1" s="48" t="s">
        <v>335</v>
      </c>
      <c r="B1" s="112"/>
      <c r="C1" s="48" t="s">
        <v>978</v>
      </c>
      <c r="D1" s="48" t="s">
        <v>979</v>
      </c>
      <c r="E1" s="48" t="s">
        <v>980</v>
      </c>
      <c r="F1" s="48" t="s">
        <v>981</v>
      </c>
      <c r="G1" s="48" t="s">
        <v>972</v>
      </c>
      <c r="H1" s="48" t="s">
        <v>973</v>
      </c>
      <c r="I1" s="48" t="s">
        <v>974</v>
      </c>
      <c r="J1" s="48" t="s">
        <v>975</v>
      </c>
      <c r="K1" s="48" t="s">
        <v>1060</v>
      </c>
      <c r="L1" s="48" t="s">
        <v>982</v>
      </c>
      <c r="M1" s="48" t="s">
        <v>983</v>
      </c>
      <c r="N1" s="48" t="s">
        <v>984</v>
      </c>
    </row>
    <row r="2" spans="1:14" x14ac:dyDescent="0.45">
      <c r="A2" s="133" t="s">
        <v>993</v>
      </c>
      <c r="B2" s="132"/>
      <c r="C2" s="132">
        <f>ROUND(F10/$B$25,0)</f>
        <v>25503</v>
      </c>
      <c r="D2" s="132"/>
      <c r="E2" s="132"/>
      <c r="F2" s="132"/>
      <c r="G2" s="134">
        <f>ROUND(G10/$B$25,0)</f>
        <v>8404</v>
      </c>
      <c r="H2" s="134">
        <f>ROUND(H10/$B$25,0)</f>
        <v>11784</v>
      </c>
      <c r="I2" s="134">
        <f>ROUND(I10/$B$25,0)</f>
        <v>8404</v>
      </c>
      <c r="J2" s="134">
        <f>ROUND(J10/$B$25,0)</f>
        <v>5265</v>
      </c>
      <c r="K2" s="135">
        <f t="shared" ref="K2:K6" si="0">C2</f>
        <v>25503</v>
      </c>
      <c r="L2" s="136">
        <f t="shared" ref="L2:L6" si="1">I2</f>
        <v>8404</v>
      </c>
      <c r="M2" s="136">
        <f t="shared" ref="M2:M6" si="2">H2</f>
        <v>11784</v>
      </c>
      <c r="N2" s="136">
        <f t="shared" ref="N2:N6" si="3">J2</f>
        <v>5265</v>
      </c>
    </row>
    <row r="3" spans="1:14" x14ac:dyDescent="0.45">
      <c r="A3" t="s">
        <v>994</v>
      </c>
      <c r="C3" s="42">
        <f>ROUND($C$2*($G24),0)</f>
        <v>2550</v>
      </c>
      <c r="D3" s="42">
        <f t="shared" ref="D3:F3" si="4">ROUND($C$2*($G24),0)</f>
        <v>2550</v>
      </c>
      <c r="E3" s="42">
        <f t="shared" si="4"/>
        <v>2550</v>
      </c>
      <c r="F3" s="42">
        <f t="shared" si="4"/>
        <v>2550</v>
      </c>
      <c r="G3">
        <f>ROUND(G$2*($G24),0)</f>
        <v>840</v>
      </c>
      <c r="H3">
        <f t="shared" ref="H3:J6" si="5">ROUND(H$2*(H24),0)</f>
        <v>825</v>
      </c>
      <c r="I3">
        <f t="shared" si="5"/>
        <v>1093</v>
      </c>
      <c r="J3">
        <f t="shared" si="5"/>
        <v>1053</v>
      </c>
      <c r="K3" s="67">
        <f t="shared" si="0"/>
        <v>2550</v>
      </c>
      <c r="L3" s="82">
        <f t="shared" si="1"/>
        <v>1093</v>
      </c>
      <c r="M3" s="82">
        <f t="shared" si="2"/>
        <v>825</v>
      </c>
      <c r="N3" s="82">
        <f t="shared" si="3"/>
        <v>1053</v>
      </c>
    </row>
    <row r="4" spans="1:14" x14ac:dyDescent="0.45">
      <c r="A4" t="s">
        <v>995</v>
      </c>
      <c r="C4" s="42">
        <f>ROUND($C$2*($G25),0)</f>
        <v>10966</v>
      </c>
      <c r="D4" s="42">
        <f t="shared" ref="D4:F6" si="6">ROUND($C$2*($G25),0)</f>
        <v>10966</v>
      </c>
      <c r="E4" s="42">
        <f t="shared" si="6"/>
        <v>10966</v>
      </c>
      <c r="F4" s="42">
        <f t="shared" si="6"/>
        <v>10966</v>
      </c>
      <c r="G4">
        <f>ROUND(G$2*($G25),0)</f>
        <v>3614</v>
      </c>
      <c r="H4">
        <f t="shared" si="5"/>
        <v>2710</v>
      </c>
      <c r="I4">
        <f t="shared" si="5"/>
        <v>4034</v>
      </c>
      <c r="J4">
        <f t="shared" si="5"/>
        <v>1843</v>
      </c>
      <c r="K4" s="67">
        <f t="shared" si="0"/>
        <v>10966</v>
      </c>
      <c r="L4" s="82">
        <f t="shared" si="1"/>
        <v>4034</v>
      </c>
      <c r="M4" s="82">
        <f t="shared" si="2"/>
        <v>2710</v>
      </c>
      <c r="N4" s="82">
        <f t="shared" si="3"/>
        <v>1843</v>
      </c>
    </row>
    <row r="5" spans="1:14" x14ac:dyDescent="0.45">
      <c r="A5" t="s">
        <v>996</v>
      </c>
      <c r="C5" s="42">
        <f>ROUND($C$2*($G26),0)</f>
        <v>5101</v>
      </c>
      <c r="D5" s="42">
        <f t="shared" si="6"/>
        <v>5101</v>
      </c>
      <c r="E5" s="42">
        <f t="shared" si="6"/>
        <v>5101</v>
      </c>
      <c r="F5" s="42">
        <f t="shared" si="6"/>
        <v>5101</v>
      </c>
      <c r="G5">
        <f>ROUND(G$2*($G26),0)</f>
        <v>1681</v>
      </c>
      <c r="H5">
        <f t="shared" si="5"/>
        <v>3889</v>
      </c>
      <c r="I5">
        <f t="shared" si="5"/>
        <v>1681</v>
      </c>
      <c r="J5">
        <f t="shared" si="5"/>
        <v>1843</v>
      </c>
      <c r="K5" s="67">
        <f t="shared" si="0"/>
        <v>5101</v>
      </c>
      <c r="L5" s="82">
        <f t="shared" si="1"/>
        <v>1681</v>
      </c>
      <c r="M5" s="82">
        <f t="shared" si="2"/>
        <v>3889</v>
      </c>
      <c r="N5" s="82">
        <f t="shared" si="3"/>
        <v>1843</v>
      </c>
    </row>
    <row r="6" spans="1:14" x14ac:dyDescent="0.45">
      <c r="A6" t="s">
        <v>997</v>
      </c>
      <c r="C6" s="42">
        <f>ROUND($C$2*($G27),0)</f>
        <v>6886</v>
      </c>
      <c r="D6" s="42">
        <f t="shared" si="6"/>
        <v>6886</v>
      </c>
      <c r="E6" s="42">
        <f t="shared" si="6"/>
        <v>6886</v>
      </c>
      <c r="F6" s="42">
        <f t="shared" si="6"/>
        <v>6886</v>
      </c>
      <c r="G6">
        <f>ROUND(G$2*($G27),0)</f>
        <v>2269</v>
      </c>
      <c r="H6">
        <f t="shared" si="5"/>
        <v>4360</v>
      </c>
      <c r="I6">
        <f t="shared" si="5"/>
        <v>1597</v>
      </c>
      <c r="J6">
        <f t="shared" si="5"/>
        <v>527</v>
      </c>
      <c r="K6" s="67">
        <f t="shared" si="0"/>
        <v>6886</v>
      </c>
      <c r="L6" s="82">
        <f t="shared" si="1"/>
        <v>1597</v>
      </c>
      <c r="M6" s="82">
        <f t="shared" si="2"/>
        <v>4360</v>
      </c>
      <c r="N6" s="82">
        <f t="shared" si="3"/>
        <v>527</v>
      </c>
    </row>
    <row r="7" spans="1:14" x14ac:dyDescent="0.45">
      <c r="C7" s="42"/>
      <c r="D7" s="42"/>
      <c r="E7" s="42"/>
      <c r="F7" s="42"/>
    </row>
    <row r="8" spans="1:14" x14ac:dyDescent="0.45">
      <c r="A8" s="111" t="s">
        <v>335</v>
      </c>
      <c r="B8" s="111">
        <v>1980</v>
      </c>
      <c r="C8" s="111">
        <v>2000</v>
      </c>
      <c r="D8" s="111">
        <v>2025</v>
      </c>
      <c r="E8" s="111" t="s">
        <v>132</v>
      </c>
      <c r="F8" s="111" t="s">
        <v>977</v>
      </c>
      <c r="G8" s="111" t="s">
        <v>972</v>
      </c>
      <c r="H8" s="111" t="s">
        <v>973</v>
      </c>
      <c r="I8" s="111" t="s">
        <v>974</v>
      </c>
      <c r="J8" s="111" t="s">
        <v>975</v>
      </c>
      <c r="K8" s="48" t="s">
        <v>989</v>
      </c>
      <c r="L8" s="48" t="s">
        <v>990</v>
      </c>
      <c r="M8" s="48" t="s">
        <v>991</v>
      </c>
      <c r="N8" s="48" t="s">
        <v>992</v>
      </c>
    </row>
    <row r="9" spans="1:14" x14ac:dyDescent="0.45">
      <c r="A9" s="119" t="s">
        <v>129</v>
      </c>
      <c r="B9" s="120">
        <f>ROUND(SUM(GHSL!D2:D14),0)</f>
        <v>13167725</v>
      </c>
      <c r="C9" s="120">
        <f>ROUND(SUM(GHSL!H2:H14),0)</f>
        <v>22268672</v>
      </c>
      <c r="D9" s="120">
        <f>ROUND(SUM(GHSL!M2:M14),0)</f>
        <v>36920249</v>
      </c>
      <c r="E9" s="120">
        <f>C9-B9</f>
        <v>9100947</v>
      </c>
      <c r="F9" s="120">
        <f>D9-C9</f>
        <v>14651577</v>
      </c>
      <c r="G9" s="120">
        <f>$D$9*(1+G15)^(2050-2025)</f>
        <v>41748371.251047835</v>
      </c>
      <c r="H9" s="120">
        <f>$D$9*(1+H15)^(2050-2025)</f>
        <v>43690071.272598803</v>
      </c>
      <c r="I9" s="120">
        <f>$D$9*(1+I15)^(2050-2025)</f>
        <v>41748371.251047835</v>
      </c>
      <c r="J9" s="120">
        <f>$D$9*(1+J15)^(2050-2025)</f>
        <v>39945055.832498915</v>
      </c>
      <c r="K9" s="49"/>
    </row>
    <row r="10" spans="1:14" x14ac:dyDescent="0.45">
      <c r="A10" s="109" t="s">
        <v>976</v>
      </c>
      <c r="B10" s="110"/>
      <c r="C10" s="110"/>
      <c r="D10" s="110">
        <f>ROUND(D9/$B$24,0)</f>
        <v>9639752</v>
      </c>
      <c r="E10" s="110">
        <f>ROUND(E9/$B$24,0)</f>
        <v>2376226</v>
      </c>
      <c r="F10" s="110">
        <f>ROUND(F9/$B$24,0)</f>
        <v>3825477</v>
      </c>
      <c r="G10" s="110">
        <f>ROUND((G9-D9)/$B$24,0)</f>
        <v>1260606</v>
      </c>
      <c r="H10" s="110">
        <f>ROUND((H9-D9)/$B$24,0)</f>
        <v>1767578</v>
      </c>
      <c r="I10" s="110">
        <f>ROUND((I9-D9)/$B$24,0)</f>
        <v>1260606</v>
      </c>
      <c r="J10" s="110">
        <f>ROUND((J9-D9)/$B$24,0)</f>
        <v>789767</v>
      </c>
      <c r="K10" s="49"/>
    </row>
    <row r="11" spans="1:14" x14ac:dyDescent="0.45">
      <c r="A11" s="109" t="s">
        <v>133</v>
      </c>
      <c r="B11" s="110"/>
      <c r="C11" s="110"/>
      <c r="D11" s="110">
        <f>ROUND(D$10*($G24),0)</f>
        <v>963975</v>
      </c>
      <c r="E11" s="110"/>
      <c r="F11" s="110"/>
      <c r="G11" s="110">
        <f>ROUND(G$10*($G24),0)</f>
        <v>126061</v>
      </c>
      <c r="H11" s="110">
        <f>ROUND(H$10*($H24),0)</f>
        <v>123730</v>
      </c>
      <c r="I11" s="110">
        <f>ROUND(I$10*($I24),0)</f>
        <v>163879</v>
      </c>
      <c r="J11" s="110">
        <f>ROUND(J$10*($J24),0)</f>
        <v>157953</v>
      </c>
      <c r="K11" s="49"/>
    </row>
    <row r="12" spans="1:14" x14ac:dyDescent="0.45">
      <c r="A12" s="109" t="s">
        <v>134</v>
      </c>
      <c r="B12" s="110"/>
      <c r="C12" s="110"/>
      <c r="D12" s="110">
        <f>ROUND(D$10*($G25),0)</f>
        <v>4145093</v>
      </c>
      <c r="E12" s="110"/>
      <c r="F12" s="110"/>
      <c r="G12" s="110">
        <f>ROUND(G$10*($G25),0)</f>
        <v>542061</v>
      </c>
      <c r="H12" s="110">
        <f>ROUND(H$10*($H25),0)</f>
        <v>406543</v>
      </c>
      <c r="I12" s="110">
        <f>ROUND(I$10*($I25),0)</f>
        <v>605091</v>
      </c>
      <c r="J12" s="110">
        <f>ROUND(J$10*($J25),0)</f>
        <v>276418</v>
      </c>
      <c r="K12" s="49"/>
    </row>
    <row r="13" spans="1:14" x14ac:dyDescent="0.45">
      <c r="A13" s="109" t="s">
        <v>135</v>
      </c>
      <c r="B13" s="110"/>
      <c r="C13" s="110"/>
      <c r="D13" s="110">
        <f>ROUND(D$10*($G26),0)</f>
        <v>1927950</v>
      </c>
      <c r="E13" s="110"/>
      <c r="F13" s="110"/>
      <c r="G13" s="110">
        <f>ROUND(G$10*($G26),0)</f>
        <v>252121</v>
      </c>
      <c r="H13" s="110">
        <f>ROUND(H$10*($H26),0)</f>
        <v>583301</v>
      </c>
      <c r="I13" s="110">
        <f>ROUND(I$10*($I26),0)</f>
        <v>252121</v>
      </c>
      <c r="J13" s="110">
        <f>ROUND(J$10*($J26),0)</f>
        <v>276418</v>
      </c>
      <c r="K13" s="49"/>
    </row>
    <row r="14" spans="1:14" x14ac:dyDescent="0.45">
      <c r="A14" s="109" t="s">
        <v>136</v>
      </c>
      <c r="B14" s="110"/>
      <c r="C14" s="110"/>
      <c r="D14" s="110">
        <f>ROUND(D$10*($G27),0)</f>
        <v>2602733</v>
      </c>
      <c r="E14" s="110"/>
      <c r="F14" s="110"/>
      <c r="G14" s="110">
        <f>ROUND(G$10*($G27),0)</f>
        <v>340364</v>
      </c>
      <c r="H14" s="110">
        <f>ROUND(H$10*($H27),0)</f>
        <v>654004</v>
      </c>
      <c r="I14" s="110">
        <f>ROUND(I$10*($I27),0)</f>
        <v>239515</v>
      </c>
      <c r="J14" s="110">
        <f>ROUND(J$10*($J27),0)</f>
        <v>78977</v>
      </c>
    </row>
    <row r="15" spans="1:14" x14ac:dyDescent="0.45">
      <c r="A15" s="119" t="s">
        <v>998</v>
      </c>
      <c r="B15" s="119"/>
      <c r="C15" s="119"/>
      <c r="D15" s="120">
        <f>ROUND(D$10*($C34),0)</f>
        <v>0</v>
      </c>
      <c r="E15" s="119"/>
      <c r="F15" s="119"/>
      <c r="G15" s="121">
        <f>MEDIAN(BPS!H2:H4)</f>
        <v>4.9281147957871418E-3</v>
      </c>
      <c r="H15" s="121">
        <f>MEDIAN(BPS!H2:H4)*MAX('IIASA SSPs'!R4:R8)/MEDIAN('IIASA SSPs'!R4:R8)</f>
        <v>6.7571560699776941E-3</v>
      </c>
      <c r="I15" s="121">
        <f>MEDIAN(BPS!H2:H4)</f>
        <v>4.9281147957871418E-3</v>
      </c>
      <c r="J15" s="121">
        <f>MEDIAN(BPS!H2:H4)*MIN('IIASA SSPs'!R4:R8)/MEDIAN('IIASA SSPs'!R4:R8)</f>
        <v>3.1547558708545972E-3</v>
      </c>
    </row>
    <row r="16" spans="1:14" x14ac:dyDescent="0.45">
      <c r="A16" s="122" t="s">
        <v>1041</v>
      </c>
      <c r="B16" s="122"/>
      <c r="C16" s="122"/>
      <c r="D16" s="123"/>
      <c r="E16" s="122"/>
      <c r="F16" s="124">
        <f>(D9/C9)^(1/25)-1</f>
        <v>2.0429046062104828E-2</v>
      </c>
      <c r="G16" s="125">
        <f>MEDIAN(BPS!H2:H4)</f>
        <v>4.9281147957871418E-3</v>
      </c>
      <c r="H16" s="126">
        <f>MAX(BPS!H2:H4)</f>
        <v>5.3527590071231756E-3</v>
      </c>
      <c r="I16" s="125">
        <f>MEDIAN(BPS!H2:H4)</f>
        <v>4.9281147957871418E-3</v>
      </c>
      <c r="J16" s="126">
        <f>MIN(BPS!H2:H4)</f>
        <v>-3.7450941129900661E-3</v>
      </c>
    </row>
    <row r="17" spans="1:11" x14ac:dyDescent="0.45">
      <c r="A17" s="122" t="s">
        <v>1009</v>
      </c>
      <c r="B17" s="122"/>
      <c r="C17" s="122"/>
      <c r="D17" s="123"/>
      <c r="E17" s="122"/>
      <c r="F17" s="124"/>
      <c r="G17" s="125">
        <f>MEDIAN('IIASA SSPs'!R$4:R$8)</f>
        <v>4.0568188257759097E-3</v>
      </c>
      <c r="H17" s="126">
        <f>MAX('IIASA SSPs'!R$4:R$8)</f>
        <v>5.5624836452319304E-3</v>
      </c>
      <c r="I17" s="125">
        <f>MEDIAN('IIASA SSPs'!R$4:R$8)</f>
        <v>4.0568188257759097E-3</v>
      </c>
      <c r="J17" s="126">
        <f>MIN('IIASA SSPs'!R$4:R$8)</f>
        <v>2.596991656637293E-3</v>
      </c>
    </row>
    <row r="18" spans="1:11" x14ac:dyDescent="0.45">
      <c r="A18" s="127" t="s">
        <v>1057</v>
      </c>
      <c r="B18" s="127"/>
      <c r="C18" s="127"/>
      <c r="D18" s="128"/>
      <c r="E18" s="127"/>
      <c r="F18" s="129"/>
      <c r="G18" s="130">
        <f>MEDIAN('IIASA SSPs'!R16:R20)</f>
        <v>7.6484952467814615E-4</v>
      </c>
      <c r="H18" s="131">
        <f>MAX('IIASA SSPs'!R16:R20)</f>
        <v>4.3687895900739182E-3</v>
      </c>
      <c r="I18" s="130">
        <f>MEDIAN('IIASA SSPs'!R16:R20)</f>
        <v>7.6484952467814615E-4</v>
      </c>
      <c r="J18" s="131">
        <f>MIN('IIASA SSPs'!R16:R20)</f>
        <v>-4.9443082837941077E-4</v>
      </c>
    </row>
    <row r="19" spans="1:11" x14ac:dyDescent="0.45">
      <c r="D19" s="42"/>
      <c r="F19" s="41"/>
      <c r="G19" s="49"/>
      <c r="H19" s="107"/>
      <c r="I19" s="49"/>
      <c r="J19" s="107"/>
    </row>
    <row r="20" spans="1:11" x14ac:dyDescent="0.45">
      <c r="G20" t="s">
        <v>999</v>
      </c>
      <c r="H20" s="68" t="s">
        <v>1000</v>
      </c>
      <c r="I20" t="s">
        <v>999</v>
      </c>
      <c r="J20" s="68" t="s">
        <v>1001</v>
      </c>
      <c r="K20" t="s">
        <v>1002</v>
      </c>
    </row>
    <row r="21" spans="1:11" x14ac:dyDescent="0.45">
      <c r="G21" s="49">
        <f>MEDIAN(BPS!H23:H35)</f>
        <v>1.9751501301109808E-2</v>
      </c>
      <c r="H21" s="68"/>
      <c r="I21" s="68"/>
      <c r="J21" s="68"/>
    </row>
    <row r="23" spans="1:11" x14ac:dyDescent="0.45">
      <c r="A23" s="48" t="s">
        <v>1052</v>
      </c>
      <c r="B23" s="48" t="s">
        <v>1050</v>
      </c>
      <c r="C23" s="48" t="s">
        <v>1051</v>
      </c>
      <c r="G23" s="48" t="s">
        <v>141</v>
      </c>
      <c r="H23" s="48" t="s">
        <v>142</v>
      </c>
      <c r="I23" s="48" t="s">
        <v>143</v>
      </c>
      <c r="J23" s="48" t="s">
        <v>144</v>
      </c>
    </row>
    <row r="24" spans="1:11" x14ac:dyDescent="0.45">
      <c r="A24" t="s">
        <v>131</v>
      </c>
      <c r="B24">
        <v>3.83</v>
      </c>
      <c r="F24" t="s">
        <v>140</v>
      </c>
      <c r="G24" s="44">
        <f>'SSP assumptions'!B12</f>
        <v>0.1</v>
      </c>
      <c r="H24" s="44">
        <f>'SSP assumptions'!C12/100</f>
        <v>7.0000000000000007E-2</v>
      </c>
      <c r="I24" s="44">
        <f>'SSP assumptions'!D12/100</f>
        <v>0.13</v>
      </c>
      <c r="J24" s="44">
        <v>0.2</v>
      </c>
    </row>
    <row r="25" spans="1:11" x14ac:dyDescent="0.45">
      <c r="A25" t="s">
        <v>130</v>
      </c>
      <c r="B25">
        <v>150</v>
      </c>
      <c r="C25">
        <v>220</v>
      </c>
      <c r="F25" t="s">
        <v>137</v>
      </c>
      <c r="G25" s="44">
        <f>'SSP assumptions'!B16</f>
        <v>0.43</v>
      </c>
      <c r="H25" s="44">
        <f>'SSP assumptions'!C16/100</f>
        <v>0.23</v>
      </c>
      <c r="I25" s="44">
        <f>'SSP assumptions'!D16/100</f>
        <v>0.48</v>
      </c>
      <c r="J25" s="44">
        <v>0.35</v>
      </c>
    </row>
    <row r="26" spans="1:11" x14ac:dyDescent="0.45">
      <c r="A26" t="s">
        <v>971</v>
      </c>
      <c r="B26">
        <f>B25*B24</f>
        <v>574.5</v>
      </c>
      <c r="C26">
        <f>C25*B24</f>
        <v>842.6</v>
      </c>
      <c r="F26" t="s">
        <v>138</v>
      </c>
      <c r="G26" s="44">
        <f>'SSP assumptions'!B20</f>
        <v>0.2</v>
      </c>
      <c r="H26" s="44">
        <f>'SSP assumptions'!C20/100</f>
        <v>0.33</v>
      </c>
      <c r="I26" s="44">
        <f>'SSP assumptions'!D20/100</f>
        <v>0.2</v>
      </c>
      <c r="J26" s="44">
        <v>0.35</v>
      </c>
    </row>
    <row r="27" spans="1:11" x14ac:dyDescent="0.45">
      <c r="A27" t="s">
        <v>1020</v>
      </c>
      <c r="B27">
        <f>ROUND((B26/(150*150))*(100*100),2)</f>
        <v>255.33</v>
      </c>
      <c r="C27">
        <f>ROUND((C26/(150*150))*(100*100),2)</f>
        <v>374.49</v>
      </c>
      <c r="F27" t="s">
        <v>139</v>
      </c>
      <c r="G27" s="44">
        <f>'SSP assumptions'!B24</f>
        <v>0.27</v>
      </c>
      <c r="H27" s="44">
        <f>'SSP assumptions'!C24/100</f>
        <v>0.37</v>
      </c>
      <c r="I27" s="44">
        <f>'SSP assumptions'!D24/100</f>
        <v>0.19</v>
      </c>
      <c r="J27" s="44">
        <f>'SSP assumptions'!E24/100</f>
        <v>0.1</v>
      </c>
    </row>
    <row r="28" spans="1:11" x14ac:dyDescent="0.45">
      <c r="A28" t="s">
        <v>1058</v>
      </c>
      <c r="B28" s="105">
        <f>SUM(GHSL!M2:M14)/(SUM(GHSL!X2:X14)/10000)</f>
        <v>398.25314498309331</v>
      </c>
      <c r="C28" s="43">
        <f>SUM(GHSL!M7:M14)/(SUM(GHSL!X7:X14)/10000)</f>
        <v>372.70098775273124</v>
      </c>
    </row>
    <row r="29" spans="1:11" x14ac:dyDescent="0.45">
      <c r="A29" t="s">
        <v>1059</v>
      </c>
      <c r="B29" s="105"/>
      <c r="C29" s="43"/>
    </row>
    <row r="31" spans="1:11" x14ac:dyDescent="0.45">
      <c r="A31" t="s">
        <v>1053</v>
      </c>
    </row>
    <row r="32" spans="1:11" x14ac:dyDescent="0.45">
      <c r="A32" s="118" t="s">
        <v>1054</v>
      </c>
    </row>
    <row r="33" spans="1:5" x14ac:dyDescent="0.45">
      <c r="A33" t="s">
        <v>1056</v>
      </c>
    </row>
    <row r="34" spans="1:5" x14ac:dyDescent="0.45">
      <c r="A34" t="s">
        <v>1055</v>
      </c>
    </row>
    <row r="42" spans="1:5" x14ac:dyDescent="0.45">
      <c r="A42" t="s">
        <v>335</v>
      </c>
      <c r="B42" t="s">
        <v>972</v>
      </c>
      <c r="C42" t="s">
        <v>973</v>
      </c>
      <c r="D42" t="s">
        <v>974</v>
      </c>
      <c r="E42" t="s">
        <v>975</v>
      </c>
    </row>
    <row r="43" spans="1:5" x14ac:dyDescent="0.45">
      <c r="A43" t="s">
        <v>129</v>
      </c>
      <c r="B43" s="70" t="str">
        <f>_xlfn.CONCAT(TEXT(G9,"###,###")," (+",TEXT((G9-$D9),"###,###"),")")</f>
        <v>41,748,371 (+4,828,122)</v>
      </c>
      <c r="C43" s="70" t="str">
        <f>_xlfn.CONCAT(TEXT(H9,"###,###")," (+",TEXT((H9-$D9),"###,###"),")")</f>
        <v>43,690,071 (+6,769,822)</v>
      </c>
      <c r="D43" s="70" t="str">
        <f>_xlfn.CONCAT(TEXT(I9,"###,###")," (+",TEXT((I9-$D9),"###,###"),")")</f>
        <v>41,748,371 (+4,828,122)</v>
      </c>
      <c r="E43" s="70" t="str">
        <f>_xlfn.CONCAT(TEXT(J9,"###,###")," (+",TEXT((J9-$D9),"###,###"),")")</f>
        <v>39,945,056 (+3,024,807)</v>
      </c>
    </row>
    <row r="45" spans="1:5" x14ac:dyDescent="0.45">
      <c r="A45" t="s">
        <v>133</v>
      </c>
      <c r="B45" s="69" t="str">
        <f t="shared" ref="B45:E48" si="7">_xlfn.CONCAT(TEXT(G11,"###,###")," (+",TEXT((G11-$D11),"###,###"),")")</f>
        <v>126,061 (+-837,914)</v>
      </c>
      <c r="C45" s="70" t="str">
        <f t="shared" si="7"/>
        <v>123,730 (+-840,245)</v>
      </c>
      <c r="D45" s="69" t="str">
        <f t="shared" si="7"/>
        <v>163,879 (+-800,096)</v>
      </c>
      <c r="E45" s="69" t="str">
        <f t="shared" si="7"/>
        <v>157,953 (+-806,022)</v>
      </c>
    </row>
    <row r="46" spans="1:5" x14ac:dyDescent="0.45">
      <c r="A46" t="s">
        <v>134</v>
      </c>
      <c r="B46" s="69" t="str">
        <f t="shared" si="7"/>
        <v>542,061 (+-3,603,032)</v>
      </c>
      <c r="C46" s="70" t="str">
        <f t="shared" si="7"/>
        <v>406,543 (+-3,738,550)</v>
      </c>
      <c r="D46" s="69" t="str">
        <f t="shared" si="7"/>
        <v>605,091 (+-3,540,002)</v>
      </c>
      <c r="E46" s="69" t="str">
        <f t="shared" si="7"/>
        <v>276,418 (+-3,868,675)</v>
      </c>
    </row>
    <row r="47" spans="1:5" x14ac:dyDescent="0.45">
      <c r="A47" t="s">
        <v>135</v>
      </c>
      <c r="B47" s="69" t="str">
        <f t="shared" si="7"/>
        <v>252,121 (+-1,675,829)</v>
      </c>
      <c r="C47" s="69" t="str">
        <f t="shared" si="7"/>
        <v>583,301 (+-1,344,649)</v>
      </c>
      <c r="D47" s="69" t="str">
        <f t="shared" si="7"/>
        <v>252,121 (+-1,675,829)</v>
      </c>
      <c r="E47" s="70" t="str">
        <f t="shared" si="7"/>
        <v>276,418 (+-1,651,532)</v>
      </c>
    </row>
    <row r="48" spans="1:5" x14ac:dyDescent="0.45">
      <c r="A48" t="s">
        <v>136</v>
      </c>
      <c r="B48" s="69" t="str">
        <f t="shared" si="7"/>
        <v>340,364 (+-2,262,369)</v>
      </c>
      <c r="C48" s="69" t="str">
        <f t="shared" si="7"/>
        <v>654,004 (+-1,948,729)</v>
      </c>
      <c r="D48" s="70" t="str">
        <f t="shared" si="7"/>
        <v>239,515 (+-2,363,218)</v>
      </c>
      <c r="E48" s="70" t="str">
        <f t="shared" si="7"/>
        <v>78,977 (+-2,523,756)</v>
      </c>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CCBE-4D49-4C99-BB07-F24D77CCB8F1}">
  <dimension ref="A1:H520"/>
  <sheetViews>
    <sheetView workbookViewId="0">
      <selection activeCell="C159" sqref="C159"/>
    </sheetView>
  </sheetViews>
  <sheetFormatPr defaultColWidth="8.73046875" defaultRowHeight="14.25" x14ac:dyDescent="0.45"/>
  <cols>
    <col min="1" max="1" width="24.796875" style="72" customWidth="1"/>
    <col min="2" max="2" width="26.33203125" style="72" customWidth="1"/>
    <col min="3" max="7" width="16.33203125" style="72" bestFit="1" customWidth="1"/>
    <col min="8" max="8" width="17.33203125" style="72" bestFit="1" customWidth="1"/>
    <col min="9" max="16384" width="8.73046875" style="72"/>
  </cols>
  <sheetData>
    <row r="1" spans="1:8" x14ac:dyDescent="0.45">
      <c r="A1" s="71"/>
      <c r="B1" s="76"/>
      <c r="C1" s="150" t="s">
        <v>336</v>
      </c>
      <c r="D1" s="150" t="s">
        <v>336</v>
      </c>
      <c r="E1" s="150" t="s">
        <v>336</v>
      </c>
      <c r="F1" s="150" t="s">
        <v>336</v>
      </c>
      <c r="G1" s="150" t="s">
        <v>336</v>
      </c>
      <c r="H1" s="150" t="s">
        <v>336</v>
      </c>
    </row>
    <row r="2" spans="1:8" x14ac:dyDescent="0.45">
      <c r="A2" s="73"/>
      <c r="B2" s="78"/>
      <c r="C2" s="72" t="s">
        <v>861</v>
      </c>
      <c r="D2" s="72" t="s">
        <v>862</v>
      </c>
      <c r="E2" s="151" t="s">
        <v>337</v>
      </c>
      <c r="F2" s="151"/>
      <c r="G2" s="72" t="s">
        <v>863</v>
      </c>
    </row>
    <row r="3" spans="1:8" x14ac:dyDescent="0.45">
      <c r="A3" s="75" t="s">
        <v>339</v>
      </c>
      <c r="B3" s="75" t="s">
        <v>855</v>
      </c>
      <c r="C3" s="81" t="s">
        <v>857</v>
      </c>
      <c r="D3" s="81" t="s">
        <v>856</v>
      </c>
      <c r="E3" s="81" t="s">
        <v>858</v>
      </c>
      <c r="F3" s="81" t="s">
        <v>859</v>
      </c>
      <c r="G3" s="81" t="s">
        <v>860</v>
      </c>
      <c r="H3" s="74" t="s">
        <v>338</v>
      </c>
    </row>
    <row r="4" spans="1:8" hidden="1" x14ac:dyDescent="0.45">
      <c r="A4" s="77" t="s">
        <v>340</v>
      </c>
      <c r="B4" s="80"/>
      <c r="C4" s="74">
        <v>30173.101099685839</v>
      </c>
      <c r="D4" s="74">
        <v>29896.674828808773</v>
      </c>
      <c r="E4" s="74">
        <v>20245.405541005646</v>
      </c>
      <c r="F4" s="74">
        <v>10004.028013304194</v>
      </c>
      <c r="G4" s="74">
        <v>8022.7905171955563</v>
      </c>
      <c r="H4" s="74">
        <v>98342.000000000291</v>
      </c>
    </row>
    <row r="5" spans="1:8" hidden="1" x14ac:dyDescent="0.45">
      <c r="A5" s="77" t="s">
        <v>341</v>
      </c>
      <c r="B5" s="80"/>
      <c r="C5" s="74">
        <v>26177.788716712981</v>
      </c>
      <c r="D5" s="74">
        <v>40036.625894273646</v>
      </c>
      <c r="E5" s="74">
        <v>29819.26157207273</v>
      </c>
      <c r="F5" s="74">
        <v>22409.998526644766</v>
      </c>
      <c r="G5" s="74">
        <v>10127.325290295874</v>
      </c>
      <c r="H5" s="74">
        <v>128571.00000000031</v>
      </c>
    </row>
    <row r="6" spans="1:8" hidden="1" x14ac:dyDescent="0.45">
      <c r="A6" s="77" t="s">
        <v>342</v>
      </c>
      <c r="B6" s="80"/>
      <c r="C6" s="74">
        <v>113197.83961151775</v>
      </c>
      <c r="D6" s="74">
        <v>66402.330355674596</v>
      </c>
      <c r="E6" s="74">
        <v>39204.958486101539</v>
      </c>
      <c r="F6" s="74">
        <v>26787.471233172444</v>
      </c>
      <c r="G6" s="74">
        <v>5256.4003135334187</v>
      </c>
      <c r="H6" s="74">
        <v>250848.99999999971</v>
      </c>
    </row>
    <row r="7" spans="1:8" hidden="1" x14ac:dyDescent="0.45">
      <c r="A7" s="77" t="s">
        <v>343</v>
      </c>
      <c r="B7" s="80"/>
      <c r="C7" s="74">
        <v>80831.48725925514</v>
      </c>
      <c r="D7" s="74">
        <v>61486.424076312964</v>
      </c>
      <c r="E7" s="74">
        <v>44146.976931315367</v>
      </c>
      <c r="F7" s="74">
        <v>25379.94919866186</v>
      </c>
      <c r="G7" s="74">
        <v>12677.162534454492</v>
      </c>
      <c r="H7" s="74">
        <v>224521.99999999983</v>
      </c>
    </row>
    <row r="8" spans="1:8" hidden="1" x14ac:dyDescent="0.45">
      <c r="A8" s="77" t="s">
        <v>344</v>
      </c>
      <c r="B8" s="80"/>
      <c r="C8" s="74">
        <v>109738.96281148953</v>
      </c>
      <c r="D8" s="74">
        <v>136112.71718743464</v>
      </c>
      <c r="E8" s="74">
        <v>107273.11749214513</v>
      </c>
      <c r="F8" s="74">
        <v>88036.079016588788</v>
      </c>
      <c r="G8" s="74">
        <v>11747.123492341865</v>
      </c>
      <c r="H8" s="74">
        <v>452907.99999999942</v>
      </c>
    </row>
    <row r="9" spans="1:8" hidden="1" x14ac:dyDescent="0.45">
      <c r="A9" s="77" t="s">
        <v>345</v>
      </c>
      <c r="B9" s="80"/>
      <c r="C9" s="74">
        <v>18110.711075638996</v>
      </c>
      <c r="D9" s="74">
        <v>72567.307522905234</v>
      </c>
      <c r="E9" s="74">
        <v>71588.712955329582</v>
      </c>
      <c r="F9" s="74">
        <v>39341.06287079602</v>
      </c>
      <c r="G9" s="74">
        <v>18629.205575329961</v>
      </c>
      <c r="H9" s="74">
        <v>220237.00000000041</v>
      </c>
    </row>
    <row r="10" spans="1:8" hidden="1" x14ac:dyDescent="0.45">
      <c r="A10" s="77" t="s">
        <v>346</v>
      </c>
      <c r="B10" s="80"/>
      <c r="C10" s="74">
        <v>7255.5847940180411</v>
      </c>
      <c r="D10" s="74">
        <v>44231.640789763645</v>
      </c>
      <c r="E10" s="74">
        <v>55540.049680186414</v>
      </c>
      <c r="F10" s="74">
        <v>76167.491903394024</v>
      </c>
      <c r="G10" s="74">
        <v>34254.232832637943</v>
      </c>
      <c r="H10" s="74">
        <v>217449.0000000007</v>
      </c>
    </row>
    <row r="11" spans="1:8" hidden="1" x14ac:dyDescent="0.45">
      <c r="A11" s="77" t="s">
        <v>347</v>
      </c>
      <c r="B11" s="80"/>
      <c r="C11" s="74">
        <v>105457.4819516265</v>
      </c>
      <c r="D11" s="74">
        <v>136255.45549368829</v>
      </c>
      <c r="E11" s="74">
        <v>80204.091418005672</v>
      </c>
      <c r="F11" s="74">
        <v>69230.274818348014</v>
      </c>
      <c r="G11" s="74">
        <v>49448.69631833164</v>
      </c>
      <c r="H11" s="74">
        <v>440596.00000000052</v>
      </c>
    </row>
    <row r="12" spans="1:8" hidden="1" x14ac:dyDescent="0.45">
      <c r="A12" s="77" t="s">
        <v>348</v>
      </c>
      <c r="B12" s="80"/>
      <c r="C12" s="74">
        <v>81427.405890673355</v>
      </c>
      <c r="D12" s="74">
        <v>168120.21092369323</v>
      </c>
      <c r="E12" s="74">
        <v>118274.51514794893</v>
      </c>
      <c r="F12" s="74">
        <v>85694.375099689452</v>
      </c>
      <c r="G12" s="74">
        <v>8664.4929379948553</v>
      </c>
      <c r="H12" s="74">
        <v>462181.00000000058</v>
      </c>
    </row>
    <row r="13" spans="1:8" hidden="1" x14ac:dyDescent="0.45">
      <c r="A13" s="77" t="s">
        <v>349</v>
      </c>
      <c r="B13" s="80"/>
      <c r="C13" s="74">
        <v>84077.050513159629</v>
      </c>
      <c r="D13" s="74">
        <v>125373.70894939612</v>
      </c>
      <c r="E13" s="74">
        <v>134422.92753627399</v>
      </c>
      <c r="F13" s="74">
        <v>104187.20218376907</v>
      </c>
      <c r="G13" s="74">
        <v>40546.110817401131</v>
      </c>
      <c r="H13" s="74">
        <v>488607.00000000081</v>
      </c>
    </row>
    <row r="14" spans="1:8" hidden="1" x14ac:dyDescent="0.45">
      <c r="A14" s="77" t="s">
        <v>350</v>
      </c>
      <c r="B14" s="80"/>
      <c r="C14" s="74">
        <v>295133.50038128713</v>
      </c>
      <c r="D14" s="74">
        <v>136457.75337069269</v>
      </c>
      <c r="E14" s="74">
        <v>116874.69233518386</v>
      </c>
      <c r="F14" s="74">
        <v>74516.579327915621</v>
      </c>
      <c r="G14" s="74">
        <v>18774.474584919786</v>
      </c>
      <c r="H14" s="74">
        <v>641756.99999999872</v>
      </c>
    </row>
    <row r="15" spans="1:8" hidden="1" x14ac:dyDescent="0.45">
      <c r="A15" s="77" t="s">
        <v>351</v>
      </c>
      <c r="B15" s="80"/>
      <c r="C15" s="74">
        <v>33853.197404257786</v>
      </c>
      <c r="D15" s="74">
        <v>54833.012558148512</v>
      </c>
      <c r="E15" s="74">
        <v>37298.12777591624</v>
      </c>
      <c r="F15" s="74">
        <v>23075.943453439882</v>
      </c>
      <c r="G15" s="74">
        <v>8442.7188082374905</v>
      </c>
      <c r="H15" s="74">
        <v>157503</v>
      </c>
    </row>
    <row r="16" spans="1:8" hidden="1" x14ac:dyDescent="0.45">
      <c r="A16" s="77" t="s">
        <v>352</v>
      </c>
      <c r="B16" s="80"/>
      <c r="C16" s="74">
        <v>9174.5982087250231</v>
      </c>
      <c r="D16" s="74">
        <v>33542.851981666165</v>
      </c>
      <c r="E16" s="74">
        <v>26141.47164920083</v>
      </c>
      <c r="F16" s="74">
        <v>20716.746360646444</v>
      </c>
      <c r="G16" s="74">
        <v>7354.3317997615668</v>
      </c>
      <c r="H16" s="74">
        <v>96929.999999999869</v>
      </c>
    </row>
    <row r="17" spans="1:8" hidden="1" x14ac:dyDescent="0.45">
      <c r="A17" s="77" t="s">
        <v>353</v>
      </c>
      <c r="B17" s="80"/>
      <c r="C17" s="74">
        <v>99243.961900096896</v>
      </c>
      <c r="D17" s="74">
        <v>88637.296932688143</v>
      </c>
      <c r="E17" s="74">
        <v>62033.015966092127</v>
      </c>
      <c r="F17" s="74">
        <v>41570.470817036345</v>
      </c>
      <c r="G17" s="74">
        <v>15327.254384086185</v>
      </c>
      <c r="H17" s="74">
        <v>306811.99999999924</v>
      </c>
    </row>
    <row r="18" spans="1:8" hidden="1" x14ac:dyDescent="0.45">
      <c r="A18" s="77" t="s">
        <v>354</v>
      </c>
      <c r="B18" s="80"/>
      <c r="C18" s="74">
        <v>2232.515043863345</v>
      </c>
      <c r="D18" s="74">
        <v>6548.1841674047173</v>
      </c>
      <c r="E18" s="74">
        <v>24960.881898863881</v>
      </c>
      <c r="F18" s="74">
        <v>63496.544194168244</v>
      </c>
      <c r="G18" s="74">
        <v>75384.874695699807</v>
      </c>
      <c r="H18" s="74">
        <v>172623.00000000058</v>
      </c>
    </row>
    <row r="19" spans="1:8" hidden="1" x14ac:dyDescent="0.45">
      <c r="A19" s="77" t="s">
        <v>355</v>
      </c>
      <c r="B19" s="80"/>
      <c r="C19" s="74">
        <v>14145.432964365331</v>
      </c>
      <c r="D19" s="74">
        <v>25357.130088879949</v>
      </c>
      <c r="E19" s="74">
        <v>28167.522522392243</v>
      </c>
      <c r="F19" s="74">
        <v>18659.387147320322</v>
      </c>
      <c r="G19" s="74">
        <v>12115.527277042233</v>
      </c>
      <c r="H19" s="74">
        <v>98444.999999999636</v>
      </c>
    </row>
    <row r="20" spans="1:8" hidden="1" x14ac:dyDescent="0.45">
      <c r="A20" s="77" t="s">
        <v>356</v>
      </c>
      <c r="B20" s="80"/>
      <c r="C20" s="74">
        <v>4931.87776593538</v>
      </c>
      <c r="D20" s="74">
        <v>25605.699559683075</v>
      </c>
      <c r="E20" s="74">
        <v>42912.237164540587</v>
      </c>
      <c r="F20" s="74">
        <v>59825.002098473749</v>
      </c>
      <c r="G20" s="74">
        <v>20662.18341136719</v>
      </c>
      <c r="H20" s="74">
        <v>153936.99999999983</v>
      </c>
    </row>
    <row r="21" spans="1:8" hidden="1" x14ac:dyDescent="0.45">
      <c r="A21" s="77" t="s">
        <v>357</v>
      </c>
      <c r="B21" s="80"/>
      <c r="C21" s="74">
        <v>27453.953440312791</v>
      </c>
      <c r="D21" s="74">
        <v>65990.14236603411</v>
      </c>
      <c r="E21" s="74">
        <v>42699.858242082897</v>
      </c>
      <c r="F21" s="74">
        <v>22205.226548976207</v>
      </c>
      <c r="G21" s="74">
        <v>8731.8194025940466</v>
      </c>
      <c r="H21" s="74">
        <v>167080.99999999988</v>
      </c>
    </row>
    <row r="22" spans="1:8" hidden="1" x14ac:dyDescent="0.45">
      <c r="A22" s="77" t="s">
        <v>358</v>
      </c>
      <c r="B22" s="80"/>
      <c r="C22" s="74">
        <v>3126.0499805947311</v>
      </c>
      <c r="D22" s="74">
        <v>38101.283156343947</v>
      </c>
      <c r="E22" s="74">
        <v>67673.228609678845</v>
      </c>
      <c r="F22" s="74">
        <v>75749.725188374272</v>
      </c>
      <c r="G22" s="74">
        <v>98576.713065007993</v>
      </c>
      <c r="H22" s="74">
        <v>283226.99999999977</v>
      </c>
    </row>
    <row r="23" spans="1:8" hidden="1" x14ac:dyDescent="0.45">
      <c r="A23" s="77" t="s">
        <v>359</v>
      </c>
      <c r="B23" s="80"/>
      <c r="C23" s="74">
        <v>3410.5265359135396</v>
      </c>
      <c r="D23" s="74">
        <v>5728.7049696244349</v>
      </c>
      <c r="E23" s="74">
        <v>7580.8617510397216</v>
      </c>
      <c r="F23" s="74">
        <v>10401.168168664979</v>
      </c>
      <c r="G23" s="74">
        <v>8129.7385747573007</v>
      </c>
      <c r="H23" s="74">
        <v>35251.000000000007</v>
      </c>
    </row>
    <row r="24" spans="1:8" hidden="1" x14ac:dyDescent="0.45">
      <c r="A24" s="77" t="s">
        <v>360</v>
      </c>
      <c r="B24" s="80"/>
      <c r="C24" s="74">
        <v>29963.43809542595</v>
      </c>
      <c r="D24" s="74">
        <v>58416.757532778567</v>
      </c>
      <c r="E24" s="74">
        <v>34350.080602864269</v>
      </c>
      <c r="F24" s="74">
        <v>35277.577066001126</v>
      </c>
      <c r="G24" s="74">
        <v>27127.146702929807</v>
      </c>
      <c r="H24" s="74">
        <v>185135.0000000009</v>
      </c>
    </row>
    <row r="25" spans="1:8" hidden="1" x14ac:dyDescent="0.45">
      <c r="A25" s="77" t="s">
        <v>361</v>
      </c>
      <c r="B25" s="80"/>
      <c r="C25" s="74">
        <v>21775.295128676364</v>
      </c>
      <c r="D25" s="74">
        <v>50680.773845929798</v>
      </c>
      <c r="E25" s="74">
        <v>47539.555303503883</v>
      </c>
      <c r="F25" s="74">
        <v>60580.412190260569</v>
      </c>
      <c r="G25" s="74">
        <v>34711.963531629423</v>
      </c>
      <c r="H25" s="74">
        <v>215287.99999999948</v>
      </c>
    </row>
    <row r="26" spans="1:8" hidden="1" x14ac:dyDescent="0.45">
      <c r="A26" s="77" t="s">
        <v>362</v>
      </c>
      <c r="B26" s="80"/>
      <c r="C26" s="74">
        <v>16513.02492867858</v>
      </c>
      <c r="D26" s="74">
        <v>26747.494378919633</v>
      </c>
      <c r="E26" s="74">
        <v>20484.484804029358</v>
      </c>
      <c r="F26" s="74">
        <v>13383.252104383342</v>
      </c>
      <c r="G26" s="74">
        <v>6952.7437839890845</v>
      </c>
      <c r="H26" s="74">
        <v>84081.000000000073</v>
      </c>
    </row>
    <row r="27" spans="1:8" hidden="1" x14ac:dyDescent="0.45">
      <c r="A27" s="77" t="s">
        <v>363</v>
      </c>
      <c r="B27" s="80"/>
      <c r="C27" s="74">
        <v>84614.813096039376</v>
      </c>
      <c r="D27" s="74">
        <v>30004.835073648883</v>
      </c>
      <c r="E27" s="74">
        <v>18263.328943145898</v>
      </c>
      <c r="F27" s="74">
        <v>7959.1869994492281</v>
      </c>
      <c r="G27" s="74">
        <v>4764.835887716511</v>
      </c>
      <c r="H27" s="74">
        <v>145606.99999999968</v>
      </c>
    </row>
    <row r="28" spans="1:8" hidden="1" x14ac:dyDescent="0.45">
      <c r="A28" s="77" t="s">
        <v>364</v>
      </c>
      <c r="B28" s="80"/>
      <c r="C28" s="74">
        <v>119800.86894237147</v>
      </c>
      <c r="D28" s="74">
        <v>160899.27665202058</v>
      </c>
      <c r="E28" s="74">
        <v>109832.86743174054</v>
      </c>
      <c r="F28" s="74">
        <v>54099.604825304574</v>
      </c>
      <c r="G28" s="74">
        <v>18389.382148562709</v>
      </c>
      <c r="H28" s="74">
        <v>463022.00000000163</v>
      </c>
    </row>
    <row r="29" spans="1:8" hidden="1" x14ac:dyDescent="0.45">
      <c r="A29" s="77" t="s">
        <v>365</v>
      </c>
      <c r="B29" s="80"/>
      <c r="C29" s="74">
        <v>43947.353350439502</v>
      </c>
      <c r="D29" s="74">
        <v>130073.00578113818</v>
      </c>
      <c r="E29" s="74">
        <v>65062.392427650295</v>
      </c>
      <c r="F29" s="74">
        <v>31694.265071671543</v>
      </c>
      <c r="G29" s="74">
        <v>15789.983369100513</v>
      </c>
      <c r="H29" s="74">
        <v>286566.99999999913</v>
      </c>
    </row>
    <row r="30" spans="1:8" hidden="1" x14ac:dyDescent="0.45">
      <c r="A30" s="77" t="s">
        <v>366</v>
      </c>
      <c r="B30" s="80"/>
      <c r="C30" s="74">
        <v>138385.52852483254</v>
      </c>
      <c r="D30" s="74">
        <v>153883.83236925924</v>
      </c>
      <c r="E30" s="74">
        <v>63049.243734443939</v>
      </c>
      <c r="F30" s="74">
        <v>40739.290046233895</v>
      </c>
      <c r="G30" s="74">
        <v>13505.105325230617</v>
      </c>
      <c r="H30" s="74">
        <v>409563.00000000134</v>
      </c>
    </row>
    <row r="31" spans="1:8" hidden="1" x14ac:dyDescent="0.45">
      <c r="A31" s="77" t="s">
        <v>367</v>
      </c>
      <c r="B31" s="80"/>
      <c r="C31" s="74">
        <v>60732.106111559908</v>
      </c>
      <c r="D31" s="74">
        <v>106967.30451095663</v>
      </c>
      <c r="E31" s="74">
        <v>76772.884352765468</v>
      </c>
      <c r="F31" s="74">
        <v>37171.341348478119</v>
      </c>
      <c r="G31" s="74">
        <v>27500.363676239856</v>
      </c>
      <c r="H31" s="74">
        <v>309143.99999999971</v>
      </c>
    </row>
    <row r="32" spans="1:8" hidden="1" x14ac:dyDescent="0.45">
      <c r="A32" s="77" t="s">
        <v>368</v>
      </c>
      <c r="B32" s="80"/>
      <c r="C32" s="74">
        <v>20069.686520974141</v>
      </c>
      <c r="D32" s="74">
        <v>52662.966038280931</v>
      </c>
      <c r="E32" s="74">
        <v>54933.194763340332</v>
      </c>
      <c r="F32" s="74">
        <v>35170.319871088737</v>
      </c>
      <c r="G32" s="74">
        <v>23035.832806315877</v>
      </c>
      <c r="H32" s="74">
        <v>185872.00000000009</v>
      </c>
    </row>
    <row r="33" spans="1:8" hidden="1" x14ac:dyDescent="0.45">
      <c r="A33" s="77" t="s">
        <v>369</v>
      </c>
      <c r="B33" s="80"/>
      <c r="C33" s="74">
        <v>65806.302655548221</v>
      </c>
      <c r="D33" s="74">
        <v>187384.2702995358</v>
      </c>
      <c r="E33" s="74">
        <v>144770.04482593</v>
      </c>
      <c r="F33" s="74">
        <v>91966.022062582269</v>
      </c>
      <c r="G33" s="74">
        <v>42763.360156404269</v>
      </c>
      <c r="H33" s="74">
        <v>532689.99999999953</v>
      </c>
    </row>
    <row r="34" spans="1:8" hidden="1" x14ac:dyDescent="0.45">
      <c r="A34" s="77" t="s">
        <v>370</v>
      </c>
      <c r="B34" s="80"/>
      <c r="C34" s="74">
        <v>144582.68552385631</v>
      </c>
      <c r="D34" s="74">
        <v>185161.3087193541</v>
      </c>
      <c r="E34" s="74">
        <v>235755.87289067116</v>
      </c>
      <c r="F34" s="74">
        <v>130501.88420826002</v>
      </c>
      <c r="G34" s="74">
        <v>55201.248657858487</v>
      </c>
      <c r="H34" s="74">
        <v>751203.00000000081</v>
      </c>
    </row>
    <row r="35" spans="1:8" hidden="1" x14ac:dyDescent="0.45">
      <c r="A35" s="77" t="s">
        <v>371</v>
      </c>
      <c r="B35" s="80"/>
      <c r="C35" s="74">
        <v>135702.90443301568</v>
      </c>
      <c r="D35" s="74">
        <v>247618.95960902941</v>
      </c>
      <c r="E35" s="74">
        <v>256422.84129099021</v>
      </c>
      <c r="F35" s="74">
        <v>145713.59757220637</v>
      </c>
      <c r="G35" s="74">
        <v>94200.697094758667</v>
      </c>
      <c r="H35" s="74">
        <v>879659.00000000116</v>
      </c>
    </row>
    <row r="36" spans="1:8" hidden="1" x14ac:dyDescent="0.45">
      <c r="A36" s="77" t="s">
        <v>372</v>
      </c>
      <c r="B36" s="80"/>
      <c r="C36" s="74">
        <v>43184.394778827525</v>
      </c>
      <c r="D36" s="74">
        <v>105938.20015231952</v>
      </c>
      <c r="E36" s="74">
        <v>76743.293137746383</v>
      </c>
      <c r="F36" s="74">
        <v>41209.872562879507</v>
      </c>
      <c r="G36" s="74">
        <v>19575.239368227198</v>
      </c>
      <c r="H36" s="74">
        <v>286651.00000000017</v>
      </c>
    </row>
    <row r="37" spans="1:8" hidden="1" x14ac:dyDescent="0.45">
      <c r="A37" s="77" t="s">
        <v>373</v>
      </c>
      <c r="B37" s="80"/>
      <c r="C37" s="74">
        <v>17147.376925964039</v>
      </c>
      <c r="D37" s="74">
        <v>66848.216555171195</v>
      </c>
      <c r="E37" s="74">
        <v>147849.72830054586</v>
      </c>
      <c r="F37" s="74">
        <v>128195.69442106647</v>
      </c>
      <c r="G37" s="74">
        <v>86701.983797252324</v>
      </c>
      <c r="H37" s="74">
        <v>446743.0000000018</v>
      </c>
    </row>
    <row r="38" spans="1:8" hidden="1" x14ac:dyDescent="0.45">
      <c r="A38" s="77" t="s">
        <v>374</v>
      </c>
      <c r="B38" s="80"/>
      <c r="C38" s="74">
        <v>448028.54139417474</v>
      </c>
      <c r="D38" s="74">
        <v>678841.30651275336</v>
      </c>
      <c r="E38" s="74">
        <v>642354.94841477578</v>
      </c>
      <c r="F38" s="74">
        <v>411343.12127272453</v>
      </c>
      <c r="G38" s="74">
        <v>222350.08240557284</v>
      </c>
      <c r="H38" s="74">
        <v>2402917.9999999749</v>
      </c>
    </row>
    <row r="39" spans="1:8" hidden="1" x14ac:dyDescent="0.45">
      <c r="A39" s="77" t="s">
        <v>375</v>
      </c>
      <c r="B39" s="80"/>
      <c r="C39" s="74">
        <v>176770.76826220358</v>
      </c>
      <c r="D39" s="74">
        <v>401415.9036844169</v>
      </c>
      <c r="E39" s="74">
        <v>287932.10261466011</v>
      </c>
      <c r="F39" s="74">
        <v>123366.98583887478</v>
      </c>
      <c r="G39" s="74">
        <v>73529.23959984562</v>
      </c>
      <c r="H39" s="74">
        <v>1063014.9999999979</v>
      </c>
    </row>
    <row r="40" spans="1:8" hidden="1" x14ac:dyDescent="0.45">
      <c r="A40" s="77" t="s">
        <v>376</v>
      </c>
      <c r="B40" s="80"/>
      <c r="C40" s="74">
        <v>197994.37348836227</v>
      </c>
      <c r="D40" s="74">
        <v>86988.550501624806</v>
      </c>
      <c r="E40" s="74">
        <v>28608.822959642574</v>
      </c>
      <c r="F40" s="74">
        <v>13078.876922000432</v>
      </c>
      <c r="G40" s="74">
        <v>4586.3761283698077</v>
      </c>
      <c r="H40" s="74">
        <v>331256.99999999942</v>
      </c>
    </row>
    <row r="41" spans="1:8" hidden="1" x14ac:dyDescent="0.45">
      <c r="A41" s="77" t="s">
        <v>377</v>
      </c>
      <c r="B41" s="80"/>
      <c r="C41" s="74">
        <v>39328.586535555653</v>
      </c>
      <c r="D41" s="74">
        <v>71623.437879854173</v>
      </c>
      <c r="E41" s="74">
        <v>44952.234292589048</v>
      </c>
      <c r="F41" s="74">
        <v>25296.791635429439</v>
      </c>
      <c r="G41" s="74">
        <v>15975.9496565716</v>
      </c>
      <c r="H41" s="74">
        <v>197176.99999999977</v>
      </c>
    </row>
    <row r="42" spans="1:8" hidden="1" x14ac:dyDescent="0.45">
      <c r="A42" s="77" t="s">
        <v>378</v>
      </c>
      <c r="B42" s="80"/>
      <c r="C42" s="74">
        <v>7162.2020369355632</v>
      </c>
      <c r="D42" s="74">
        <v>20359.483495567449</v>
      </c>
      <c r="E42" s="74">
        <v>12794.256193631609</v>
      </c>
      <c r="F42" s="74">
        <v>8295.5208800124856</v>
      </c>
      <c r="G42" s="74">
        <v>4633.537393852931</v>
      </c>
      <c r="H42" s="74">
        <v>53244.99999999976</v>
      </c>
    </row>
    <row r="43" spans="1:8" hidden="1" x14ac:dyDescent="0.45">
      <c r="A43" s="77" t="s">
        <v>379</v>
      </c>
      <c r="B43" s="80"/>
      <c r="C43" s="74">
        <v>18099.493328520111</v>
      </c>
      <c r="D43" s="74">
        <v>35777.61673989705</v>
      </c>
      <c r="E43" s="74">
        <v>33976.278501691973</v>
      </c>
      <c r="F43" s="74">
        <v>28688.145080370425</v>
      </c>
      <c r="G43" s="74">
        <v>10904.466349520408</v>
      </c>
      <c r="H43" s="74">
        <v>127446.00000000029</v>
      </c>
    </row>
    <row r="44" spans="1:8" hidden="1" x14ac:dyDescent="0.45">
      <c r="A44" s="77" t="s">
        <v>380</v>
      </c>
      <c r="B44" s="80"/>
      <c r="C44" s="74">
        <v>107788.78454132305</v>
      </c>
      <c r="D44" s="74">
        <v>218218.316474416</v>
      </c>
      <c r="E44" s="74">
        <v>167128.88605280654</v>
      </c>
      <c r="F44" s="74">
        <v>87380.857712478683</v>
      </c>
      <c r="G44" s="74">
        <v>36213.15521897556</v>
      </c>
      <c r="H44" s="74">
        <v>616730.00000000128</v>
      </c>
    </row>
    <row r="45" spans="1:8" hidden="1" x14ac:dyDescent="0.45">
      <c r="A45" s="77" t="s">
        <v>381</v>
      </c>
      <c r="B45" s="80"/>
      <c r="C45" s="74">
        <v>85667.694065361633</v>
      </c>
      <c r="D45" s="74">
        <v>146305.51309080591</v>
      </c>
      <c r="E45" s="74">
        <v>117498.61180708506</v>
      </c>
      <c r="F45" s="74">
        <v>53991.896395000644</v>
      </c>
      <c r="G45" s="74">
        <v>28587.284641746701</v>
      </c>
      <c r="H45" s="74">
        <v>432050.99999999889</v>
      </c>
    </row>
    <row r="46" spans="1:8" hidden="1" x14ac:dyDescent="0.45">
      <c r="A46" s="77" t="s">
        <v>382</v>
      </c>
      <c r="B46" s="80"/>
      <c r="C46" s="74">
        <v>42057.376503753701</v>
      </c>
      <c r="D46" s="74">
        <v>102938.72869607054</v>
      </c>
      <c r="E46" s="74">
        <v>83613.906816913179</v>
      </c>
      <c r="F46" s="74">
        <v>48699.557004295049</v>
      </c>
      <c r="G46" s="74">
        <v>20253.430978967237</v>
      </c>
      <c r="H46" s="74">
        <v>297562.99999999907</v>
      </c>
    </row>
    <row r="47" spans="1:8" hidden="1" x14ac:dyDescent="0.45">
      <c r="A47" s="77" t="s">
        <v>383</v>
      </c>
      <c r="B47" s="80"/>
      <c r="C47" s="74">
        <v>36200.160401075264</v>
      </c>
      <c r="D47" s="74">
        <v>121945.95507468958</v>
      </c>
      <c r="E47" s="74">
        <v>87742.896472667897</v>
      </c>
      <c r="F47" s="74">
        <v>50491.874731588447</v>
      </c>
      <c r="G47" s="74">
        <v>14052.113319978758</v>
      </c>
      <c r="H47" s="74">
        <v>310433.00000000017</v>
      </c>
    </row>
    <row r="48" spans="1:8" hidden="1" x14ac:dyDescent="0.45">
      <c r="A48" s="77" t="s">
        <v>384</v>
      </c>
      <c r="B48" s="80"/>
      <c r="C48" s="74">
        <v>23285.771297479801</v>
      </c>
      <c r="D48" s="74">
        <v>126887.44800700787</v>
      </c>
      <c r="E48" s="74">
        <v>127137.60630581899</v>
      </c>
      <c r="F48" s="74">
        <v>61830.224339713503</v>
      </c>
      <c r="G48" s="74">
        <v>31107.950049980016</v>
      </c>
      <c r="H48" s="74">
        <v>370249.00000000093</v>
      </c>
    </row>
    <row r="49" spans="1:8" hidden="1" x14ac:dyDescent="0.45">
      <c r="A49" s="77" t="s">
        <v>385</v>
      </c>
      <c r="B49" s="80"/>
      <c r="C49" s="74">
        <v>42470.19556142488</v>
      </c>
      <c r="D49" s="74">
        <v>140412.45337272901</v>
      </c>
      <c r="E49" s="74">
        <v>120221.16843078582</v>
      </c>
      <c r="F49" s="74">
        <v>48037.391093197482</v>
      </c>
      <c r="G49" s="74">
        <v>24843.791541862745</v>
      </c>
      <c r="H49" s="74">
        <v>375984.99999999965</v>
      </c>
    </row>
    <row r="50" spans="1:8" hidden="1" x14ac:dyDescent="0.45">
      <c r="A50" s="77" t="s">
        <v>386</v>
      </c>
      <c r="B50" s="80"/>
      <c r="C50" s="74">
        <v>80555.152204989179</v>
      </c>
      <c r="D50" s="74">
        <v>35885.926473057887</v>
      </c>
      <c r="E50" s="74">
        <v>15323.484897112041</v>
      </c>
      <c r="F50" s="74">
        <v>7804.9242131914107</v>
      </c>
      <c r="G50" s="74">
        <v>1692.512211649489</v>
      </c>
      <c r="H50" s="74">
        <v>141262</v>
      </c>
    </row>
    <row r="51" spans="1:8" hidden="1" x14ac:dyDescent="0.45">
      <c r="A51" s="77" t="s">
        <v>387</v>
      </c>
      <c r="B51" s="80"/>
      <c r="C51" s="74">
        <v>55830.760126737594</v>
      </c>
      <c r="D51" s="74">
        <v>16151.3028163906</v>
      </c>
      <c r="E51" s="74">
        <v>7697.7006784763407</v>
      </c>
      <c r="F51" s="74">
        <v>2721.2309423230095</v>
      </c>
      <c r="G51" s="74">
        <v>278.00543607257197</v>
      </c>
      <c r="H51" s="74">
        <v>82679.000000000218</v>
      </c>
    </row>
    <row r="52" spans="1:8" hidden="1" x14ac:dyDescent="0.45">
      <c r="A52" s="77" t="s">
        <v>388</v>
      </c>
      <c r="B52" s="80"/>
      <c r="C52" s="74">
        <v>9496.0757292564595</v>
      </c>
      <c r="D52" s="74">
        <v>23598.676770994865</v>
      </c>
      <c r="E52" s="74">
        <v>30597.671816745249</v>
      </c>
      <c r="F52" s="74">
        <v>14500.991097919545</v>
      </c>
      <c r="G52" s="74">
        <v>9499.5845850838941</v>
      </c>
      <c r="H52" s="74">
        <v>87692.999999999898</v>
      </c>
    </row>
    <row r="53" spans="1:8" hidden="1" x14ac:dyDescent="0.45">
      <c r="A53" s="77" t="s">
        <v>389</v>
      </c>
      <c r="B53" s="80"/>
      <c r="C53" s="74">
        <v>21676.790696812666</v>
      </c>
      <c r="D53" s="74">
        <v>63037.327621829681</v>
      </c>
      <c r="E53" s="74">
        <v>56770.519347627356</v>
      </c>
      <c r="F53" s="74">
        <v>26291.304474234381</v>
      </c>
      <c r="G53" s="74">
        <v>16099.05785949579</v>
      </c>
      <c r="H53" s="74">
        <v>183875.00000000006</v>
      </c>
    </row>
    <row r="54" spans="1:8" hidden="1" x14ac:dyDescent="0.45">
      <c r="A54" s="77" t="s">
        <v>390</v>
      </c>
      <c r="B54" s="80"/>
      <c r="C54" s="74">
        <v>34620.323416043466</v>
      </c>
      <c r="D54" s="74">
        <v>54826.411470150488</v>
      </c>
      <c r="E54" s="74">
        <v>66576.957543043289</v>
      </c>
      <c r="F54" s="74">
        <v>56281.685947028098</v>
      </c>
      <c r="G54" s="74">
        <v>49778.621623734616</v>
      </c>
      <c r="H54" s="74">
        <v>262084.00000000038</v>
      </c>
    </row>
    <row r="55" spans="1:8" hidden="1" x14ac:dyDescent="0.45">
      <c r="A55" s="77" t="s">
        <v>391</v>
      </c>
      <c r="B55" s="80"/>
      <c r="C55" s="74">
        <v>19515.39442893464</v>
      </c>
      <c r="D55" s="74">
        <v>45124.228054466039</v>
      </c>
      <c r="E55" s="74">
        <v>51735.037072937732</v>
      </c>
      <c r="F55" s="74">
        <v>28848.295211806373</v>
      </c>
      <c r="G55" s="74">
        <v>27047.045231855238</v>
      </c>
      <c r="H55" s="74">
        <v>172269.99999999965</v>
      </c>
    </row>
    <row r="56" spans="1:8" hidden="1" x14ac:dyDescent="0.45">
      <c r="A56" s="77" t="s">
        <v>392</v>
      </c>
      <c r="B56" s="80"/>
      <c r="C56" s="74">
        <v>112686.91140509536</v>
      </c>
      <c r="D56" s="74">
        <v>421807.80166066479</v>
      </c>
      <c r="E56" s="74">
        <v>637404.39207868313</v>
      </c>
      <c r="F56" s="74">
        <v>551855.16824251262</v>
      </c>
      <c r="G56" s="74">
        <v>617593.72661304439</v>
      </c>
      <c r="H56" s="74">
        <v>2341348.0000000047</v>
      </c>
    </row>
    <row r="57" spans="1:8" hidden="1" x14ac:dyDescent="0.45">
      <c r="A57" s="77" t="s">
        <v>393</v>
      </c>
      <c r="B57" s="80"/>
      <c r="C57" s="74">
        <v>49824.147681569251</v>
      </c>
      <c r="D57" s="74">
        <v>93690.918851471899</v>
      </c>
      <c r="E57" s="74">
        <v>70633.138740862036</v>
      </c>
      <c r="F57" s="74">
        <v>42192.871986736231</v>
      </c>
      <c r="G57" s="74">
        <v>32825.922739360525</v>
      </c>
      <c r="H57" s="74">
        <v>289167.00000000047</v>
      </c>
    </row>
    <row r="58" spans="1:8" hidden="1" x14ac:dyDescent="0.45">
      <c r="A58" s="77" t="s">
        <v>394</v>
      </c>
      <c r="B58" s="80"/>
      <c r="C58" s="74">
        <v>26740.117410677361</v>
      </c>
      <c r="D58" s="74">
        <v>74998.582295070955</v>
      </c>
      <c r="E58" s="74">
        <v>69425.624443176144</v>
      </c>
      <c r="F58" s="74">
        <v>38134.575510356175</v>
      </c>
      <c r="G58" s="74">
        <v>26529.100340719422</v>
      </c>
      <c r="H58" s="74">
        <v>235827.99999999971</v>
      </c>
    </row>
    <row r="59" spans="1:8" hidden="1" x14ac:dyDescent="0.45">
      <c r="A59" s="77" t="s">
        <v>395</v>
      </c>
      <c r="B59" s="80"/>
      <c r="C59" s="74">
        <v>72945.982357487519</v>
      </c>
      <c r="D59" s="74">
        <v>37497.993186822074</v>
      </c>
      <c r="E59" s="74">
        <v>23857.998794575691</v>
      </c>
      <c r="F59" s="74">
        <v>8350.2570333327967</v>
      </c>
      <c r="G59" s="74">
        <v>6422.7686277818993</v>
      </c>
      <c r="H59" s="74">
        <v>149075.00000000023</v>
      </c>
    </row>
    <row r="60" spans="1:8" hidden="1" x14ac:dyDescent="0.45">
      <c r="A60" s="77" t="s">
        <v>396</v>
      </c>
      <c r="B60" s="80"/>
      <c r="C60" s="74">
        <v>16832.426243020062</v>
      </c>
      <c r="D60" s="74">
        <v>30015.907140372528</v>
      </c>
      <c r="E60" s="74">
        <v>27753.878602718367</v>
      </c>
      <c r="F60" s="74">
        <v>16933.040825191725</v>
      </c>
      <c r="G60" s="74">
        <v>8725.7471886973417</v>
      </c>
      <c r="H60" s="74">
        <v>100261.00000000013</v>
      </c>
    </row>
    <row r="61" spans="1:8" hidden="1" x14ac:dyDescent="0.45">
      <c r="A61" s="77" t="s">
        <v>397</v>
      </c>
      <c r="B61" s="80"/>
      <c r="C61" s="74">
        <v>71515.04319355794</v>
      </c>
      <c r="D61" s="74">
        <v>152524.87349039712</v>
      </c>
      <c r="E61" s="74">
        <v>130797.40110404376</v>
      </c>
      <c r="F61" s="74">
        <v>85279.460924514569</v>
      </c>
      <c r="G61" s="74">
        <v>38264.221287486747</v>
      </c>
      <c r="H61" s="74">
        <v>478381.0000000014</v>
      </c>
    </row>
    <row r="62" spans="1:8" hidden="1" x14ac:dyDescent="0.45">
      <c r="A62" s="77" t="s">
        <v>398</v>
      </c>
      <c r="B62" s="80"/>
      <c r="C62" s="74">
        <v>31733.711100756027</v>
      </c>
      <c r="D62" s="74">
        <v>105452.84372319572</v>
      </c>
      <c r="E62" s="74">
        <v>127657.9587220484</v>
      </c>
      <c r="F62" s="74">
        <v>82239.331710516155</v>
      </c>
      <c r="G62" s="74">
        <v>36417.154743483698</v>
      </c>
      <c r="H62" s="74">
        <v>383501.00000000111</v>
      </c>
    </row>
    <row r="63" spans="1:8" hidden="1" x14ac:dyDescent="0.45">
      <c r="A63" s="77" t="s">
        <v>399</v>
      </c>
      <c r="B63" s="80"/>
      <c r="C63" s="74">
        <v>14146.566498684135</v>
      </c>
      <c r="D63" s="74">
        <v>54372.133206454026</v>
      </c>
      <c r="E63" s="74">
        <v>88043.511173901148</v>
      </c>
      <c r="F63" s="74">
        <v>69745.659208697049</v>
      </c>
      <c r="G63" s="74">
        <v>29071.129912263561</v>
      </c>
      <c r="H63" s="74">
        <v>255379.00000000125</v>
      </c>
    </row>
    <row r="64" spans="1:8" hidden="1" x14ac:dyDescent="0.45">
      <c r="A64" s="77" t="s">
        <v>400</v>
      </c>
      <c r="B64" s="80"/>
      <c r="C64" s="74">
        <v>37362.235777224611</v>
      </c>
      <c r="D64" s="74">
        <v>97596.934244364311</v>
      </c>
      <c r="E64" s="74">
        <v>109615.95428896167</v>
      </c>
      <c r="F64" s="74">
        <v>74637.118446319291</v>
      </c>
      <c r="G64" s="74">
        <v>31144.75724313</v>
      </c>
      <c r="H64" s="74">
        <v>350356.99999999808</v>
      </c>
    </row>
    <row r="65" spans="1:8" hidden="1" x14ac:dyDescent="0.45">
      <c r="A65" s="77" t="s">
        <v>401</v>
      </c>
      <c r="B65" s="80"/>
      <c r="C65" s="74">
        <v>49755.268315891641</v>
      </c>
      <c r="D65" s="74">
        <v>116143.97764817724</v>
      </c>
      <c r="E65" s="74">
        <v>126282.33643655428</v>
      </c>
      <c r="F65" s="74">
        <v>102726.10660042375</v>
      </c>
      <c r="G65" s="74">
        <v>30123.310998952958</v>
      </c>
      <c r="H65" s="74">
        <v>425031.00000000035</v>
      </c>
    </row>
    <row r="66" spans="1:8" hidden="1" x14ac:dyDescent="0.45">
      <c r="A66" s="77" t="s">
        <v>402</v>
      </c>
      <c r="B66" s="80"/>
      <c r="C66" s="74">
        <v>97542.423716627294</v>
      </c>
      <c r="D66" s="74">
        <v>124100.36781724167</v>
      </c>
      <c r="E66" s="74">
        <v>141148.32107710367</v>
      </c>
      <c r="F66" s="74">
        <v>108226.6650021057</v>
      </c>
      <c r="G66" s="74">
        <v>35527.222386921836</v>
      </c>
      <c r="H66" s="74">
        <v>506545.00000000058</v>
      </c>
    </row>
    <row r="67" spans="1:8" hidden="1" x14ac:dyDescent="0.45">
      <c r="A67" s="77" t="s">
        <v>403</v>
      </c>
      <c r="B67" s="80"/>
      <c r="C67" s="74">
        <v>20162.458206769104</v>
      </c>
      <c r="D67" s="74">
        <v>78758.245115165759</v>
      </c>
      <c r="E67" s="74">
        <v>168038.14383057054</v>
      </c>
      <c r="F67" s="74">
        <v>101313.56712743037</v>
      </c>
      <c r="G67" s="74">
        <v>29356.585720063955</v>
      </c>
      <c r="H67" s="74">
        <v>397628.99999999895</v>
      </c>
    </row>
    <row r="68" spans="1:8" hidden="1" x14ac:dyDescent="0.45">
      <c r="A68" s="77" t="s">
        <v>404</v>
      </c>
      <c r="B68" s="80"/>
      <c r="C68" s="74">
        <v>54663.891124187547</v>
      </c>
      <c r="D68" s="74">
        <v>104536.76836749796</v>
      </c>
      <c r="E68" s="74">
        <v>89911.131583373237</v>
      </c>
      <c r="F68" s="74">
        <v>30499.816909461006</v>
      </c>
      <c r="G68" s="74">
        <v>14344.392015480162</v>
      </c>
      <c r="H68" s="74">
        <v>293956.00000000029</v>
      </c>
    </row>
    <row r="69" spans="1:8" hidden="1" x14ac:dyDescent="0.45">
      <c r="A69" s="77" t="s">
        <v>405</v>
      </c>
      <c r="B69" s="80"/>
      <c r="C69" s="74">
        <v>17848.839792029754</v>
      </c>
      <c r="D69" s="74">
        <v>47129.231672098213</v>
      </c>
      <c r="E69" s="74">
        <v>53715.313094371653</v>
      </c>
      <c r="F69" s="74">
        <v>42300.773054840836</v>
      </c>
      <c r="G69" s="74">
        <v>23722.84238665954</v>
      </c>
      <c r="H69" s="74">
        <v>184716.99999999974</v>
      </c>
    </row>
    <row r="70" spans="1:8" hidden="1" x14ac:dyDescent="0.45">
      <c r="A70" s="77" t="s">
        <v>406</v>
      </c>
      <c r="B70" s="80"/>
      <c r="C70" s="74">
        <v>12938.989795618936</v>
      </c>
      <c r="D70" s="74">
        <v>65439.314861954088</v>
      </c>
      <c r="E70" s="74">
        <v>93961.83913981347</v>
      </c>
      <c r="F70" s="74">
        <v>62754.718177441238</v>
      </c>
      <c r="G70" s="74">
        <v>43814.138025172346</v>
      </c>
      <c r="H70" s="74">
        <v>278909.00000000052</v>
      </c>
    </row>
    <row r="71" spans="1:8" hidden="1" x14ac:dyDescent="0.45">
      <c r="A71" s="77" t="s">
        <v>407</v>
      </c>
      <c r="B71" s="80"/>
      <c r="C71" s="74">
        <v>64532.89057114716</v>
      </c>
      <c r="D71" s="74">
        <v>185941.87954022281</v>
      </c>
      <c r="E71" s="74">
        <v>119449.59237621707</v>
      </c>
      <c r="F71" s="74">
        <v>84154.255502208311</v>
      </c>
      <c r="G71" s="74">
        <v>30625.38201020471</v>
      </c>
      <c r="H71" s="74">
        <v>484703.99999999651</v>
      </c>
    </row>
    <row r="72" spans="1:8" hidden="1" x14ac:dyDescent="0.45">
      <c r="A72" s="77" t="s">
        <v>408</v>
      </c>
      <c r="B72" s="80"/>
      <c r="C72" s="74">
        <v>28477.863106519697</v>
      </c>
      <c r="D72" s="74">
        <v>168877.82309209954</v>
      </c>
      <c r="E72" s="74">
        <v>257731.53396176317</v>
      </c>
      <c r="F72" s="74">
        <v>300222.59026900824</v>
      </c>
      <c r="G72" s="74">
        <v>251591.18957060931</v>
      </c>
      <c r="H72" s="74">
        <v>1006901.0000000036</v>
      </c>
    </row>
    <row r="73" spans="1:8" hidden="1" x14ac:dyDescent="0.45">
      <c r="A73" s="77" t="s">
        <v>409</v>
      </c>
      <c r="B73" s="80"/>
      <c r="C73" s="74">
        <v>2346.722277375035</v>
      </c>
      <c r="D73" s="74">
        <v>11326.195507470664</v>
      </c>
      <c r="E73" s="74">
        <v>25036.950272354628</v>
      </c>
      <c r="F73" s="74">
        <v>23054.420520276162</v>
      </c>
      <c r="G73" s="74">
        <v>15059.711422523578</v>
      </c>
      <c r="H73" s="74">
        <v>76823.999999999854</v>
      </c>
    </row>
    <row r="74" spans="1:8" hidden="1" x14ac:dyDescent="0.45">
      <c r="A74" s="77" t="s">
        <v>410</v>
      </c>
      <c r="B74" s="80"/>
      <c r="C74" s="74">
        <v>5252.1672412313055</v>
      </c>
      <c r="D74" s="74">
        <v>12320.967954173382</v>
      </c>
      <c r="E74" s="74">
        <v>16239.702858914894</v>
      </c>
      <c r="F74" s="74">
        <v>19470.378621464697</v>
      </c>
      <c r="G74" s="74">
        <v>11586.783324215734</v>
      </c>
      <c r="H74" s="74">
        <v>64870.000000000036</v>
      </c>
    </row>
    <row r="75" spans="1:8" hidden="1" x14ac:dyDescent="0.45">
      <c r="A75" s="77" t="s">
        <v>411</v>
      </c>
      <c r="B75" s="80"/>
      <c r="C75" s="74">
        <v>979.61142008346144</v>
      </c>
      <c r="D75" s="74">
        <v>12488.525479159494</v>
      </c>
      <c r="E75" s="74">
        <v>14350.860981179136</v>
      </c>
      <c r="F75" s="74">
        <v>16051.443928437749</v>
      </c>
      <c r="G75" s="74">
        <v>13046.558191140102</v>
      </c>
      <c r="H75" s="74">
        <v>56917.000000000146</v>
      </c>
    </row>
    <row r="76" spans="1:8" hidden="1" x14ac:dyDescent="0.45">
      <c r="A76" s="77" t="s">
        <v>412</v>
      </c>
      <c r="B76" s="80"/>
      <c r="C76" s="74">
        <v>5047.9755248613765</v>
      </c>
      <c r="D76" s="74">
        <v>22279.379644282984</v>
      </c>
      <c r="E76" s="74">
        <v>42793.46963586007</v>
      </c>
      <c r="F76" s="74">
        <v>44650.489537552698</v>
      </c>
      <c r="G76" s="74">
        <v>25624.685657442904</v>
      </c>
      <c r="H76" s="74">
        <v>140395.99999999971</v>
      </c>
    </row>
    <row r="77" spans="1:8" hidden="1" x14ac:dyDescent="0.45">
      <c r="A77" s="77" t="s">
        <v>413</v>
      </c>
      <c r="B77" s="80"/>
      <c r="C77" s="74">
        <v>4974.5102695133246</v>
      </c>
      <c r="D77" s="74">
        <v>18786.724914707058</v>
      </c>
      <c r="E77" s="74">
        <v>48965.955239665964</v>
      </c>
      <c r="F77" s="74">
        <v>35879.333518449872</v>
      </c>
      <c r="G77" s="74">
        <v>36269.476057663815</v>
      </c>
      <c r="H77" s="74">
        <v>144875.99999999997</v>
      </c>
    </row>
    <row r="78" spans="1:8" hidden="1" x14ac:dyDescent="0.45">
      <c r="A78" s="77" t="s">
        <v>414</v>
      </c>
      <c r="B78" s="80"/>
      <c r="C78" s="74">
        <v>11887.498620150773</v>
      </c>
      <c r="D78" s="74">
        <v>24623.931448367759</v>
      </c>
      <c r="E78" s="74">
        <v>25624.273144104904</v>
      </c>
      <c r="F78" s="74">
        <v>19135.754644130706</v>
      </c>
      <c r="G78" s="74">
        <v>11716.54214324591</v>
      </c>
      <c r="H78" s="74">
        <v>92988.000000000189</v>
      </c>
    </row>
    <row r="79" spans="1:8" hidden="1" x14ac:dyDescent="0.45">
      <c r="A79" s="77" t="s">
        <v>415</v>
      </c>
      <c r="B79" s="80"/>
      <c r="C79" s="74">
        <v>20264.703801855914</v>
      </c>
      <c r="D79" s="74">
        <v>89320.257801642365</v>
      </c>
      <c r="E79" s="74">
        <v>80804.812735007959</v>
      </c>
      <c r="F79" s="74">
        <v>86503.448838276759</v>
      </c>
      <c r="G79" s="74">
        <v>46669.776823216867</v>
      </c>
      <c r="H79" s="74">
        <v>323562.99999999936</v>
      </c>
    </row>
    <row r="80" spans="1:8" hidden="1" x14ac:dyDescent="0.45">
      <c r="A80" s="77" t="s">
        <v>416</v>
      </c>
      <c r="B80" s="80"/>
      <c r="C80" s="74">
        <v>33230.097247948434</v>
      </c>
      <c r="D80" s="74">
        <v>97563.465979501721</v>
      </c>
      <c r="E80" s="74">
        <v>146316.48746578745</v>
      </c>
      <c r="F80" s="74">
        <v>108349.951533189</v>
      </c>
      <c r="G80" s="74">
        <v>66806.997773573326</v>
      </c>
      <c r="H80" s="74">
        <v>452267.00000000128</v>
      </c>
    </row>
    <row r="81" spans="1:8" hidden="1" x14ac:dyDescent="0.45">
      <c r="A81" s="77" t="s">
        <v>417</v>
      </c>
      <c r="B81" s="80"/>
      <c r="C81" s="74">
        <v>163629.11395095513</v>
      </c>
      <c r="D81" s="74">
        <v>225420.56044372925</v>
      </c>
      <c r="E81" s="74">
        <v>195290.42987037526</v>
      </c>
      <c r="F81" s="74">
        <v>87431.401872871094</v>
      </c>
      <c r="G81" s="74">
        <v>52558.493862068673</v>
      </c>
      <c r="H81" s="74">
        <v>724330.00000000419</v>
      </c>
    </row>
    <row r="82" spans="1:8" hidden="1" x14ac:dyDescent="0.45">
      <c r="A82" s="77" t="s">
        <v>418</v>
      </c>
      <c r="B82" s="80"/>
      <c r="C82" s="74">
        <v>45301.77691198307</v>
      </c>
      <c r="D82" s="74">
        <v>120348.79012959416</v>
      </c>
      <c r="E82" s="74">
        <v>134130.7637396405</v>
      </c>
      <c r="F82" s="74">
        <v>162863.36791391822</v>
      </c>
      <c r="G82" s="74">
        <v>93290.301304863373</v>
      </c>
      <c r="H82" s="74">
        <v>555935.00000000047</v>
      </c>
    </row>
    <row r="83" spans="1:8" hidden="1" x14ac:dyDescent="0.45">
      <c r="A83" s="77" t="s">
        <v>419</v>
      </c>
      <c r="B83" s="80"/>
      <c r="C83" s="74">
        <v>30501.038846403331</v>
      </c>
      <c r="D83" s="74">
        <v>99863.156854093293</v>
      </c>
      <c r="E83" s="74">
        <v>131705.85873330626</v>
      </c>
      <c r="F83" s="74">
        <v>155579.09555576896</v>
      </c>
      <c r="G83" s="74">
        <v>98534.850010427661</v>
      </c>
      <c r="H83" s="74">
        <v>516184.00000000268</v>
      </c>
    </row>
    <row r="84" spans="1:8" hidden="1" x14ac:dyDescent="0.45">
      <c r="A84" s="77" t="s">
        <v>420</v>
      </c>
      <c r="B84" s="80"/>
      <c r="C84" s="74">
        <v>134941.47210456309</v>
      </c>
      <c r="D84" s="74">
        <v>181083.25056623379</v>
      </c>
      <c r="E84" s="74">
        <v>246641.14433423255</v>
      </c>
      <c r="F84" s="74">
        <v>219839.77767858858</v>
      </c>
      <c r="G84" s="74">
        <v>124469.35531638168</v>
      </c>
      <c r="H84" s="74">
        <v>906974.99999999686</v>
      </c>
    </row>
    <row r="85" spans="1:8" hidden="1" x14ac:dyDescent="0.45">
      <c r="A85" s="77" t="s">
        <v>421</v>
      </c>
      <c r="B85" s="80"/>
      <c r="C85" s="74">
        <v>58660.055817591827</v>
      </c>
      <c r="D85" s="74">
        <v>187605.37324018081</v>
      </c>
      <c r="E85" s="74">
        <v>244590.84156539233</v>
      </c>
      <c r="F85" s="74">
        <v>180151.33725949476</v>
      </c>
      <c r="G85" s="74">
        <v>93877.392117341209</v>
      </c>
      <c r="H85" s="74">
        <v>764884.99999999732</v>
      </c>
    </row>
    <row r="86" spans="1:8" hidden="1" x14ac:dyDescent="0.45">
      <c r="A86" s="77" t="s">
        <v>422</v>
      </c>
      <c r="B86" s="80"/>
      <c r="C86" s="74">
        <v>59572.31190664856</v>
      </c>
      <c r="D86" s="74">
        <v>122713.38050922455</v>
      </c>
      <c r="E86" s="74">
        <v>189042.78983025759</v>
      </c>
      <c r="F86" s="74">
        <v>118353.05840695358</v>
      </c>
      <c r="G86" s="74">
        <v>82840.459346915522</v>
      </c>
      <c r="H86" s="74">
        <v>572521.99999999953</v>
      </c>
    </row>
    <row r="87" spans="1:8" hidden="1" x14ac:dyDescent="0.45">
      <c r="A87" s="77" t="s">
        <v>423</v>
      </c>
      <c r="B87" s="80"/>
      <c r="C87" s="74">
        <v>150170.63125184245</v>
      </c>
      <c r="D87" s="74">
        <v>211536.62716918802</v>
      </c>
      <c r="E87" s="74">
        <v>190788.48301630883</v>
      </c>
      <c r="F87" s="74">
        <v>126890.98899639164</v>
      </c>
      <c r="G87" s="74">
        <v>70813.269566269024</v>
      </c>
      <c r="H87" s="74">
        <v>750199.99999999593</v>
      </c>
    </row>
    <row r="88" spans="1:8" hidden="1" x14ac:dyDescent="0.45">
      <c r="A88" s="77" t="s">
        <v>424</v>
      </c>
      <c r="B88" s="80"/>
      <c r="C88" s="74">
        <v>20469.884567036494</v>
      </c>
      <c r="D88" s="74">
        <v>63930.964078076024</v>
      </c>
      <c r="E88" s="74">
        <v>50593.465388576493</v>
      </c>
      <c r="F88" s="74">
        <v>39035.523320273918</v>
      </c>
      <c r="G88" s="74">
        <v>16654.16264603709</v>
      </c>
      <c r="H88" s="74">
        <v>190684.00000000081</v>
      </c>
    </row>
    <row r="89" spans="1:8" hidden="1" x14ac:dyDescent="0.45">
      <c r="A89" s="77" t="s">
        <v>425</v>
      </c>
      <c r="B89" s="80"/>
      <c r="C89" s="74">
        <v>56986.376093014522</v>
      </c>
      <c r="D89" s="74">
        <v>233520.57558871631</v>
      </c>
      <c r="E89" s="74">
        <v>272220.33906549739</v>
      </c>
      <c r="F89" s="74">
        <v>319269.8122672913</v>
      </c>
      <c r="G89" s="74">
        <v>311558.8969854794</v>
      </c>
      <c r="H89" s="74">
        <v>1193555.9999999984</v>
      </c>
    </row>
    <row r="90" spans="1:8" hidden="1" x14ac:dyDescent="0.45">
      <c r="A90" s="77" t="s">
        <v>426</v>
      </c>
      <c r="B90" s="80"/>
      <c r="C90" s="74">
        <v>16897.513052522587</v>
      </c>
      <c r="D90" s="74">
        <v>58190.794341594592</v>
      </c>
      <c r="E90" s="74">
        <v>102462.13781150666</v>
      </c>
      <c r="F90" s="74">
        <v>84531.319711508389</v>
      </c>
      <c r="G90" s="74">
        <v>53855.235082867759</v>
      </c>
      <c r="H90" s="74">
        <v>315937.00000000105</v>
      </c>
    </row>
    <row r="91" spans="1:8" hidden="1" x14ac:dyDescent="0.45">
      <c r="A91" s="77" t="s">
        <v>427</v>
      </c>
      <c r="B91" s="80"/>
      <c r="C91" s="74">
        <v>36757.510346099501</v>
      </c>
      <c r="D91" s="74">
        <v>52476.652626424671</v>
      </c>
      <c r="E91" s="74">
        <v>54980.703388637994</v>
      </c>
      <c r="F91" s="74">
        <v>65579.303074040101</v>
      </c>
      <c r="G91" s="74">
        <v>31730.830564797769</v>
      </c>
      <c r="H91" s="74">
        <v>241524.99999999983</v>
      </c>
    </row>
    <row r="92" spans="1:8" hidden="1" x14ac:dyDescent="0.45">
      <c r="A92" s="77" t="s">
        <v>428</v>
      </c>
      <c r="B92" s="80"/>
      <c r="C92" s="74">
        <v>109755.60607824828</v>
      </c>
      <c r="D92" s="74">
        <v>130478.90051726133</v>
      </c>
      <c r="E92" s="74">
        <v>66036.10965453877</v>
      </c>
      <c r="F92" s="74">
        <v>53883.668885790648</v>
      </c>
      <c r="G92" s="74">
        <v>35427.714864160313</v>
      </c>
      <c r="H92" s="74">
        <v>395582.00000000116</v>
      </c>
    </row>
    <row r="93" spans="1:8" hidden="1" x14ac:dyDescent="0.45">
      <c r="A93" s="77" t="s">
        <v>429</v>
      </c>
      <c r="B93" s="80"/>
      <c r="C93" s="74">
        <v>66283.157059880919</v>
      </c>
      <c r="D93" s="74">
        <v>88039.954283015555</v>
      </c>
      <c r="E93" s="74">
        <v>75795.422431943836</v>
      </c>
      <c r="F93" s="74">
        <v>45787.333392050605</v>
      </c>
      <c r="G93" s="74">
        <v>37572.132833108888</v>
      </c>
      <c r="H93" s="74">
        <v>313477.9999999993</v>
      </c>
    </row>
    <row r="94" spans="1:8" hidden="1" x14ac:dyDescent="0.45">
      <c r="A94" s="77" t="s">
        <v>430</v>
      </c>
      <c r="B94" s="80"/>
      <c r="C94" s="74">
        <v>48653.065990079216</v>
      </c>
      <c r="D94" s="74">
        <v>84146.21759087962</v>
      </c>
      <c r="E94" s="74">
        <v>55910.951896303617</v>
      </c>
      <c r="F94" s="74">
        <v>46286.041541571154</v>
      </c>
      <c r="G94" s="74">
        <v>38813.722981166466</v>
      </c>
      <c r="H94" s="74">
        <v>273809.99999999977</v>
      </c>
    </row>
    <row r="95" spans="1:8" hidden="1" x14ac:dyDescent="0.45">
      <c r="A95" s="77" t="s">
        <v>431</v>
      </c>
      <c r="B95" s="80"/>
      <c r="C95" s="74">
        <v>89316.2689743472</v>
      </c>
      <c r="D95" s="74">
        <v>112963.00729047885</v>
      </c>
      <c r="E95" s="74">
        <v>110685.52865341818</v>
      </c>
      <c r="F95" s="74">
        <v>81434.549551567208</v>
      </c>
      <c r="G95" s="74">
        <v>76066.645530188689</v>
      </c>
      <c r="H95" s="74">
        <v>470466.00000000081</v>
      </c>
    </row>
    <row r="96" spans="1:8" hidden="1" x14ac:dyDescent="0.45">
      <c r="A96" s="77" t="s">
        <v>432</v>
      </c>
      <c r="B96" s="80"/>
      <c r="C96" s="74">
        <v>28070.839969579676</v>
      </c>
      <c r="D96" s="74">
        <v>45103.309560753893</v>
      </c>
      <c r="E96" s="74">
        <v>60685.826595299237</v>
      </c>
      <c r="F96" s="74">
        <v>43931.690979487685</v>
      </c>
      <c r="G96" s="74">
        <v>37256.332894879532</v>
      </c>
      <c r="H96" s="74">
        <v>215047.9999999993</v>
      </c>
    </row>
    <row r="97" spans="1:8" hidden="1" x14ac:dyDescent="0.45">
      <c r="A97" s="77" t="s">
        <v>433</v>
      </c>
      <c r="B97" s="80"/>
      <c r="C97" s="74">
        <v>82006.004577811298</v>
      </c>
      <c r="D97" s="74">
        <v>98829.222481701043</v>
      </c>
      <c r="E97" s="74">
        <v>70233.589308045775</v>
      </c>
      <c r="F97" s="74">
        <v>58199.461318711605</v>
      </c>
      <c r="G97" s="74">
        <v>34175.722313730119</v>
      </c>
      <c r="H97" s="74">
        <v>343444.00000000029</v>
      </c>
    </row>
    <row r="98" spans="1:8" hidden="1" x14ac:dyDescent="0.45">
      <c r="A98" s="77" t="s">
        <v>434</v>
      </c>
      <c r="B98" s="80"/>
      <c r="C98" s="74">
        <v>85059.625519881185</v>
      </c>
      <c r="D98" s="74">
        <v>139275.34393510202</v>
      </c>
      <c r="E98" s="74">
        <v>76244.881448201719</v>
      </c>
      <c r="F98" s="74">
        <v>46839.444302553951</v>
      </c>
      <c r="G98" s="74">
        <v>16098.704794261323</v>
      </c>
      <c r="H98" s="74">
        <v>363518.00000000029</v>
      </c>
    </row>
    <row r="99" spans="1:8" hidden="1" x14ac:dyDescent="0.45">
      <c r="A99" s="77" t="s">
        <v>435</v>
      </c>
      <c r="B99" s="80"/>
      <c r="C99" s="74">
        <v>54347.698582919045</v>
      </c>
      <c r="D99" s="74">
        <v>89938.41924378727</v>
      </c>
      <c r="E99" s="74">
        <v>97421.855601827323</v>
      </c>
      <c r="F99" s="74">
        <v>86600.726958784318</v>
      </c>
      <c r="G99" s="74">
        <v>62234.299612681978</v>
      </c>
      <c r="H99" s="74">
        <v>390542.99999999965</v>
      </c>
    </row>
    <row r="100" spans="1:8" hidden="1" x14ac:dyDescent="0.45">
      <c r="A100" s="77" t="s">
        <v>436</v>
      </c>
      <c r="B100" s="80"/>
      <c r="C100" s="74">
        <v>39253.853407029885</v>
      </c>
      <c r="D100" s="74">
        <v>107251.241102566</v>
      </c>
      <c r="E100" s="74">
        <v>157259.40800580673</v>
      </c>
      <c r="F100" s="74">
        <v>157882.36205275962</v>
      </c>
      <c r="G100" s="74">
        <v>146551.13543183717</v>
      </c>
      <c r="H100" s="74">
        <v>608198.00000000012</v>
      </c>
    </row>
    <row r="101" spans="1:8" hidden="1" x14ac:dyDescent="0.45">
      <c r="A101" s="77" t="s">
        <v>437</v>
      </c>
      <c r="B101" s="80"/>
      <c r="C101" s="74">
        <v>7481.4650500503685</v>
      </c>
      <c r="D101" s="74">
        <v>22211.528124025903</v>
      </c>
      <c r="E101" s="74">
        <v>25308.881336175367</v>
      </c>
      <c r="F101" s="74">
        <v>20630.508837377216</v>
      </c>
      <c r="G101" s="74">
        <v>13132.616652371129</v>
      </c>
      <c r="H101" s="74">
        <v>88764.999999999913</v>
      </c>
    </row>
    <row r="102" spans="1:8" hidden="1" x14ac:dyDescent="0.45">
      <c r="A102" s="77" t="s">
        <v>438</v>
      </c>
      <c r="B102" s="80"/>
      <c r="C102" s="74">
        <v>127598.50916924556</v>
      </c>
      <c r="D102" s="74">
        <v>99092.677413550278</v>
      </c>
      <c r="E102" s="74">
        <v>60802.793292690054</v>
      </c>
      <c r="F102" s="74">
        <v>55302.12249259805</v>
      </c>
      <c r="G102" s="74">
        <v>42091.897631916036</v>
      </c>
      <c r="H102" s="74">
        <v>384887.99999999936</v>
      </c>
    </row>
    <row r="103" spans="1:8" hidden="1" x14ac:dyDescent="0.45">
      <c r="A103" s="77" t="s">
        <v>439</v>
      </c>
      <c r="B103" s="80"/>
      <c r="C103" s="74">
        <v>304669.65402922104</v>
      </c>
      <c r="D103" s="74">
        <v>158898.48738881148</v>
      </c>
      <c r="E103" s="74">
        <v>158580.11121100094</v>
      </c>
      <c r="F103" s="74">
        <v>168597.67415353761</v>
      </c>
      <c r="G103" s="74">
        <v>79711.073217429759</v>
      </c>
      <c r="H103" s="74">
        <v>870457.0000000014</v>
      </c>
    </row>
    <row r="104" spans="1:8" hidden="1" x14ac:dyDescent="0.45">
      <c r="A104" s="77" t="s">
        <v>440</v>
      </c>
      <c r="B104" s="80"/>
      <c r="C104" s="74">
        <v>282780.27656561311</v>
      </c>
      <c r="D104" s="74">
        <v>125272.60974940236</v>
      </c>
      <c r="E104" s="74">
        <v>107192.87419967793</v>
      </c>
      <c r="F104" s="74">
        <v>97258.97648663017</v>
      </c>
      <c r="G104" s="74">
        <v>57412.262998676728</v>
      </c>
      <c r="H104" s="74">
        <v>669917.00000000023</v>
      </c>
    </row>
    <row r="105" spans="1:8" hidden="1" x14ac:dyDescent="0.45">
      <c r="A105" s="77" t="s">
        <v>441</v>
      </c>
      <c r="B105" s="80"/>
      <c r="C105" s="74">
        <v>91643.307273673141</v>
      </c>
      <c r="D105" s="74">
        <v>92260.298306422104</v>
      </c>
      <c r="E105" s="74">
        <v>83217.527502813944</v>
      </c>
      <c r="F105" s="74">
        <v>92973.095234202716</v>
      </c>
      <c r="G105" s="74">
        <v>62252.771682887884</v>
      </c>
      <c r="H105" s="74">
        <v>422347.00000000029</v>
      </c>
    </row>
    <row r="106" spans="1:8" hidden="1" x14ac:dyDescent="0.45">
      <c r="A106" s="77" t="s">
        <v>442</v>
      </c>
      <c r="B106" s="80"/>
      <c r="C106" s="74">
        <v>169116.8067909005</v>
      </c>
      <c r="D106" s="74">
        <v>114439.26497934002</v>
      </c>
      <c r="E106" s="74">
        <v>69287.936979570979</v>
      </c>
      <c r="F106" s="74">
        <v>49145.425563402285</v>
      </c>
      <c r="G106" s="74">
        <v>20898.565686786158</v>
      </c>
      <c r="H106" s="74">
        <v>422887.99999999866</v>
      </c>
    </row>
    <row r="107" spans="1:8" hidden="1" x14ac:dyDescent="0.45">
      <c r="A107" s="77" t="s">
        <v>443</v>
      </c>
      <c r="B107" s="80"/>
      <c r="C107" s="74">
        <v>185535.65877000819</v>
      </c>
      <c r="D107" s="74">
        <v>153388.60681577961</v>
      </c>
      <c r="E107" s="74">
        <v>145592.3608798848</v>
      </c>
      <c r="F107" s="74">
        <v>123377.0022665671</v>
      </c>
      <c r="G107" s="74">
        <v>73995.371267760303</v>
      </c>
      <c r="H107" s="74">
        <v>681888.99999999965</v>
      </c>
    </row>
    <row r="108" spans="1:8" hidden="1" x14ac:dyDescent="0.45">
      <c r="A108" s="77" t="s">
        <v>444</v>
      </c>
      <c r="B108" s="80"/>
      <c r="C108" s="74">
        <v>166158.22609674011</v>
      </c>
      <c r="D108" s="74">
        <v>233484.35009687609</v>
      </c>
      <c r="E108" s="74">
        <v>190423.40398996251</v>
      </c>
      <c r="F108" s="74">
        <v>226928.75508174367</v>
      </c>
      <c r="G108" s="74">
        <v>79099.264734677607</v>
      </c>
      <c r="H108" s="74">
        <v>896093.99999999965</v>
      </c>
    </row>
    <row r="109" spans="1:8" hidden="1" x14ac:dyDescent="0.45">
      <c r="A109" s="77" t="s">
        <v>445</v>
      </c>
      <c r="B109" s="80"/>
      <c r="C109" s="74">
        <v>164166.07360340364</v>
      </c>
      <c r="D109" s="74">
        <v>87649.096943525219</v>
      </c>
      <c r="E109" s="74">
        <v>60782.917748885819</v>
      </c>
      <c r="F109" s="74">
        <v>44827.778590978283</v>
      </c>
      <c r="G109" s="74">
        <v>21734.133113207037</v>
      </c>
      <c r="H109" s="74">
        <v>379159.99999999872</v>
      </c>
    </row>
    <row r="110" spans="1:8" hidden="1" x14ac:dyDescent="0.45">
      <c r="A110" s="77" t="s">
        <v>446</v>
      </c>
      <c r="B110" s="80"/>
      <c r="C110" s="74">
        <v>325274.36818827776</v>
      </c>
      <c r="D110" s="74">
        <v>149481.55001271449</v>
      </c>
      <c r="E110" s="74">
        <v>102391.29315132652</v>
      </c>
      <c r="F110" s="74">
        <v>77834.193840468579</v>
      </c>
      <c r="G110" s="74">
        <v>44527.594807213049</v>
      </c>
      <c r="H110" s="74">
        <v>699509.00000000023</v>
      </c>
    </row>
    <row r="111" spans="1:8" hidden="1" x14ac:dyDescent="0.45">
      <c r="A111" s="77" t="s">
        <v>447</v>
      </c>
      <c r="B111" s="80"/>
      <c r="C111" s="74">
        <v>223979.63197031495</v>
      </c>
      <c r="D111" s="74">
        <v>96496.49617872278</v>
      </c>
      <c r="E111" s="74">
        <v>66151.775686919646</v>
      </c>
      <c r="F111" s="74">
        <v>41981.741956309677</v>
      </c>
      <c r="G111" s="74">
        <v>18131.354207732606</v>
      </c>
      <c r="H111" s="74">
        <v>446741.00000000105</v>
      </c>
    </row>
    <row r="112" spans="1:8" hidden="1" x14ac:dyDescent="0.45">
      <c r="A112" s="77" t="s">
        <v>448</v>
      </c>
      <c r="B112" s="80"/>
      <c r="C112" s="74">
        <v>127378.09070692935</v>
      </c>
      <c r="D112" s="74">
        <v>45530.274960852956</v>
      </c>
      <c r="E112" s="74">
        <v>37497.062341360674</v>
      </c>
      <c r="F112" s="74">
        <v>32418.263196383949</v>
      </c>
      <c r="G112" s="74">
        <v>18073.308794472996</v>
      </c>
      <c r="H112" s="74">
        <v>260897.00000000009</v>
      </c>
    </row>
    <row r="113" spans="1:8" hidden="1" x14ac:dyDescent="0.45">
      <c r="A113" s="77" t="s">
        <v>449</v>
      </c>
      <c r="B113" s="80"/>
      <c r="C113" s="74">
        <v>103130.59388394892</v>
      </c>
      <c r="D113" s="74">
        <v>40221.798277253998</v>
      </c>
      <c r="E113" s="74">
        <v>30035.139825264923</v>
      </c>
      <c r="F113" s="74">
        <v>15394.881576396667</v>
      </c>
      <c r="G113" s="74">
        <v>10352.586437135411</v>
      </c>
      <c r="H113" s="74">
        <v>199135.00000000023</v>
      </c>
    </row>
    <row r="114" spans="1:8" hidden="1" x14ac:dyDescent="0.45">
      <c r="A114" s="77" t="s">
        <v>450</v>
      </c>
      <c r="B114" s="80"/>
      <c r="C114" s="74">
        <v>72989.068777982626</v>
      </c>
      <c r="D114" s="74">
        <v>36918.177180309358</v>
      </c>
      <c r="E114" s="74">
        <v>48908.603524355407</v>
      </c>
      <c r="F114" s="74">
        <v>30292.212330155115</v>
      </c>
      <c r="G114" s="74">
        <v>11739.938187197522</v>
      </c>
      <c r="H114" s="74">
        <v>200848.00000000041</v>
      </c>
    </row>
    <row r="115" spans="1:8" hidden="1" x14ac:dyDescent="0.45">
      <c r="A115" s="77" t="s">
        <v>451</v>
      </c>
      <c r="B115" s="80"/>
      <c r="C115" s="74">
        <v>311753.76217278471</v>
      </c>
      <c r="D115" s="74">
        <v>370896.80737363774</v>
      </c>
      <c r="E115" s="74">
        <v>243522.53888562092</v>
      </c>
      <c r="F115" s="74">
        <v>436910.98842322594</v>
      </c>
      <c r="G115" s="74">
        <v>392255.90314473241</v>
      </c>
      <c r="H115" s="74">
        <v>1755339.9999999895</v>
      </c>
    </row>
    <row r="116" spans="1:8" hidden="1" x14ac:dyDescent="0.45">
      <c r="A116" s="77" t="s">
        <v>452</v>
      </c>
      <c r="B116" s="80"/>
      <c r="C116" s="74">
        <v>73889.511005863227</v>
      </c>
      <c r="D116" s="74">
        <v>39751.001365654709</v>
      </c>
      <c r="E116" s="74">
        <v>32170.061137236782</v>
      </c>
      <c r="F116" s="74">
        <v>28892.06255991869</v>
      </c>
      <c r="G116" s="74">
        <v>24110.363931326618</v>
      </c>
      <c r="H116" s="74">
        <v>198812.99999999901</v>
      </c>
    </row>
    <row r="117" spans="1:8" hidden="1" x14ac:dyDescent="0.45">
      <c r="A117" s="77" t="s">
        <v>453</v>
      </c>
      <c r="B117" s="80"/>
      <c r="C117" s="74">
        <v>63232.452093683845</v>
      </c>
      <c r="D117" s="74">
        <v>35557.868092044373</v>
      </c>
      <c r="E117" s="74">
        <v>22099.548531786662</v>
      </c>
      <c r="F117" s="74">
        <v>14120.931275454655</v>
      </c>
      <c r="G117" s="74">
        <v>8424.2000070303638</v>
      </c>
      <c r="H117" s="74">
        <v>143435.00000000009</v>
      </c>
    </row>
    <row r="118" spans="1:8" hidden="1" x14ac:dyDescent="0.45">
      <c r="A118" s="77" t="s">
        <v>454</v>
      </c>
      <c r="B118" s="80"/>
      <c r="C118" s="74">
        <v>86124.795047858599</v>
      </c>
      <c r="D118" s="74">
        <v>60895.16471203175</v>
      </c>
      <c r="E118" s="74">
        <v>28723.474790460878</v>
      </c>
      <c r="F118" s="74">
        <v>30773.949723451438</v>
      </c>
      <c r="G118" s="74">
        <v>38640.615726197168</v>
      </c>
      <c r="H118" s="74">
        <v>245158.00000000017</v>
      </c>
    </row>
    <row r="119" spans="1:8" hidden="1" x14ac:dyDescent="0.45">
      <c r="A119" s="77" t="s">
        <v>455</v>
      </c>
      <c r="B119" s="80"/>
      <c r="C119" s="74">
        <v>55055.954378682705</v>
      </c>
      <c r="D119" s="74">
        <v>65286.06277358855</v>
      </c>
      <c r="E119" s="74">
        <v>27124.103075664952</v>
      </c>
      <c r="F119" s="74">
        <v>19886.926779060679</v>
      </c>
      <c r="G119" s="74">
        <v>14750.952993003097</v>
      </c>
      <c r="H119" s="74">
        <v>182104.00000000029</v>
      </c>
    </row>
    <row r="120" spans="1:8" hidden="1" x14ac:dyDescent="0.45">
      <c r="A120" s="77" t="s">
        <v>456</v>
      </c>
      <c r="B120" s="80"/>
      <c r="C120" s="74">
        <v>65573.938175411575</v>
      </c>
      <c r="D120" s="74">
        <v>79652.489016982276</v>
      </c>
      <c r="E120" s="74">
        <v>66172.156578269773</v>
      </c>
      <c r="F120" s="74">
        <v>42518.924744393866</v>
      </c>
      <c r="G120" s="74">
        <v>24597.491484942566</v>
      </c>
      <c r="H120" s="74">
        <v>278514.99999999942</v>
      </c>
    </row>
    <row r="121" spans="1:8" hidden="1" x14ac:dyDescent="0.45">
      <c r="A121" s="77" t="s">
        <v>457</v>
      </c>
      <c r="B121" s="80"/>
      <c r="C121" s="74">
        <v>55332.479903835476</v>
      </c>
      <c r="D121" s="74">
        <v>93067.129204144367</v>
      </c>
      <c r="E121" s="74">
        <v>76609.220975565084</v>
      </c>
      <c r="F121" s="74">
        <v>46619.772140382243</v>
      </c>
      <c r="G121" s="74">
        <v>40612.397776072918</v>
      </c>
      <c r="H121" s="74">
        <v>312240.9999999993</v>
      </c>
    </row>
    <row r="122" spans="1:8" hidden="1" x14ac:dyDescent="0.45">
      <c r="A122" s="77" t="s">
        <v>458</v>
      </c>
      <c r="B122" s="80"/>
      <c r="C122" s="74">
        <v>32441.366412527899</v>
      </c>
      <c r="D122" s="74">
        <v>41889.919054913793</v>
      </c>
      <c r="E122" s="74">
        <v>27962.007557577814</v>
      </c>
      <c r="F122" s="74">
        <v>14126.235220525914</v>
      </c>
      <c r="G122" s="74">
        <v>9456.4717544546147</v>
      </c>
      <c r="H122" s="74">
        <v>125875.99999999993</v>
      </c>
    </row>
    <row r="123" spans="1:8" hidden="1" x14ac:dyDescent="0.45">
      <c r="A123" s="77" t="s">
        <v>459</v>
      </c>
      <c r="B123" s="80"/>
      <c r="C123" s="74">
        <v>39873.25580934633</v>
      </c>
      <c r="D123" s="74">
        <v>69616.045139570531</v>
      </c>
      <c r="E123" s="74">
        <v>49489.102689995059</v>
      </c>
      <c r="F123" s="74">
        <v>24822.938260687992</v>
      </c>
      <c r="G123" s="74">
        <v>17991.658100400025</v>
      </c>
      <c r="H123" s="74">
        <v>201793.00000000015</v>
      </c>
    </row>
    <row r="124" spans="1:8" hidden="1" x14ac:dyDescent="0.45">
      <c r="A124" s="77" t="s">
        <v>460</v>
      </c>
      <c r="B124" s="80"/>
      <c r="C124" s="74">
        <v>10489.062392626302</v>
      </c>
      <c r="D124" s="74">
        <v>39281.161670688198</v>
      </c>
      <c r="E124" s="74">
        <v>55395.866746561653</v>
      </c>
      <c r="F124" s="74">
        <v>50203.922860314917</v>
      </c>
      <c r="G124" s="74">
        <v>36966.986329808919</v>
      </c>
      <c r="H124" s="74">
        <v>192336.99999999959</v>
      </c>
    </row>
    <row r="125" spans="1:8" hidden="1" x14ac:dyDescent="0.45">
      <c r="A125" s="77" t="s">
        <v>461</v>
      </c>
      <c r="B125" s="80"/>
      <c r="C125" s="74">
        <v>27417.060286914002</v>
      </c>
      <c r="D125" s="74">
        <v>40408.78484327039</v>
      </c>
      <c r="E125" s="74">
        <v>23821.501310580068</v>
      </c>
      <c r="F125" s="74">
        <v>18638.644848826181</v>
      </c>
      <c r="G125" s="74">
        <v>8391.0087104094091</v>
      </c>
      <c r="H125" s="74">
        <v>118677.00000000012</v>
      </c>
    </row>
    <row r="126" spans="1:8" hidden="1" x14ac:dyDescent="0.45">
      <c r="A126" s="77" t="s">
        <v>462</v>
      </c>
      <c r="B126" s="80"/>
      <c r="C126" s="74">
        <v>46992.997365793271</v>
      </c>
      <c r="D126" s="74">
        <v>46434.946312128894</v>
      </c>
      <c r="E126" s="74">
        <v>23244.836663393842</v>
      </c>
      <c r="F126" s="74">
        <v>17935.413416995278</v>
      </c>
      <c r="G126" s="74">
        <v>9356.8062416888006</v>
      </c>
      <c r="H126" s="74">
        <v>143965.00000000015</v>
      </c>
    </row>
    <row r="127" spans="1:8" hidden="1" x14ac:dyDescent="0.45">
      <c r="A127" s="77" t="s">
        <v>463</v>
      </c>
      <c r="B127" s="80"/>
      <c r="C127" s="74">
        <v>18053.369943242655</v>
      </c>
      <c r="D127" s="74">
        <v>42652.52532829198</v>
      </c>
      <c r="E127" s="74">
        <v>28518.975432453295</v>
      </c>
      <c r="F127" s="74">
        <v>16734.641223528546</v>
      </c>
      <c r="G127" s="74">
        <v>11148.488072483511</v>
      </c>
      <c r="H127" s="74">
        <v>117108</v>
      </c>
    </row>
    <row r="128" spans="1:8" hidden="1" x14ac:dyDescent="0.45">
      <c r="A128" s="77" t="s">
        <v>464</v>
      </c>
      <c r="B128" s="80"/>
      <c r="C128" s="74">
        <v>34955.760396995254</v>
      </c>
      <c r="D128" s="74">
        <v>96225.837401204873</v>
      </c>
      <c r="E128" s="74">
        <v>85428.05923830712</v>
      </c>
      <c r="F128" s="74">
        <v>81732.246323201893</v>
      </c>
      <c r="G128" s="74">
        <v>83127.096640290794</v>
      </c>
      <c r="H128" s="74">
        <v>381468.99999999814</v>
      </c>
    </row>
    <row r="129" spans="1:8" hidden="1" x14ac:dyDescent="0.45">
      <c r="A129" s="77" t="s">
        <v>465</v>
      </c>
      <c r="B129" s="80"/>
      <c r="C129" s="74">
        <v>96112.481194314983</v>
      </c>
      <c r="D129" s="74">
        <v>92060.861908999083</v>
      </c>
      <c r="E129" s="74">
        <v>63923.396825721138</v>
      </c>
      <c r="F129" s="74">
        <v>44410.028988948136</v>
      </c>
      <c r="G129" s="74">
        <v>14462.231082016466</v>
      </c>
      <c r="H129" s="74">
        <v>310968.99999999971</v>
      </c>
    </row>
    <row r="130" spans="1:8" hidden="1" x14ac:dyDescent="0.45">
      <c r="A130" s="77" t="s">
        <v>466</v>
      </c>
      <c r="B130" s="80"/>
      <c r="C130" s="74">
        <v>236998.75626101243</v>
      </c>
      <c r="D130" s="74">
        <v>175441.55297153999</v>
      </c>
      <c r="E130" s="74">
        <v>105111.22488538778</v>
      </c>
      <c r="F130" s="74">
        <v>80965.115610243389</v>
      </c>
      <c r="G130" s="74">
        <v>20929.350271816074</v>
      </c>
      <c r="H130" s="74">
        <v>619446.00000000023</v>
      </c>
    </row>
    <row r="131" spans="1:8" hidden="1" x14ac:dyDescent="0.45">
      <c r="A131" s="77" t="s">
        <v>467</v>
      </c>
      <c r="B131" s="80"/>
      <c r="C131" s="74">
        <v>194487.30825995543</v>
      </c>
      <c r="D131" s="74">
        <v>335163.16180660832</v>
      </c>
      <c r="E131" s="74">
        <v>229604.68416311816</v>
      </c>
      <c r="F131" s="74">
        <v>214497.31507637995</v>
      </c>
      <c r="G131" s="74">
        <v>71227.530693938825</v>
      </c>
      <c r="H131" s="74">
        <v>1044979.9999999987</v>
      </c>
    </row>
    <row r="132" spans="1:8" hidden="1" x14ac:dyDescent="0.45">
      <c r="A132" s="77" t="s">
        <v>468</v>
      </c>
      <c r="B132" s="80"/>
      <c r="C132" s="74">
        <v>387690.03568882932</v>
      </c>
      <c r="D132" s="74">
        <v>294617.06514080637</v>
      </c>
      <c r="E132" s="74">
        <v>200924.08401047505</v>
      </c>
      <c r="F132" s="74">
        <v>116869.88817078604</v>
      </c>
      <c r="G132" s="74">
        <v>74252.926989104206</v>
      </c>
      <c r="H132" s="74">
        <v>1074353.9999999963</v>
      </c>
    </row>
    <row r="133" spans="1:8" hidden="1" x14ac:dyDescent="0.45">
      <c r="A133" s="77" t="s">
        <v>469</v>
      </c>
      <c r="B133" s="80"/>
      <c r="C133" s="74">
        <v>312228.80912050547</v>
      </c>
      <c r="D133" s="74">
        <v>372376.97907801316</v>
      </c>
      <c r="E133" s="74">
        <v>294393.76381612435</v>
      </c>
      <c r="F133" s="74">
        <v>243853.03488946476</v>
      </c>
      <c r="G133" s="74">
        <v>93830.413095891388</v>
      </c>
      <c r="H133" s="74">
        <v>1316682.9999999995</v>
      </c>
    </row>
    <row r="134" spans="1:8" hidden="1" x14ac:dyDescent="0.45">
      <c r="A134" s="77" t="s">
        <v>470</v>
      </c>
      <c r="B134" s="80"/>
      <c r="C134" s="74">
        <v>256881.96953801782</v>
      </c>
      <c r="D134" s="74">
        <v>203251.61619257901</v>
      </c>
      <c r="E134" s="74">
        <v>85743.658372891266</v>
      </c>
      <c r="F134" s="74">
        <v>46004.116214764916</v>
      </c>
      <c r="G134" s="74">
        <v>32661.63968174651</v>
      </c>
      <c r="H134" s="74">
        <v>624542.99999999907</v>
      </c>
    </row>
    <row r="135" spans="1:8" hidden="1" x14ac:dyDescent="0.45">
      <c r="A135" s="77" t="s">
        <v>471</v>
      </c>
      <c r="B135" s="80"/>
      <c r="C135" s="74">
        <v>114609.68774324865</v>
      </c>
      <c r="D135" s="74">
        <v>127019.17783914495</v>
      </c>
      <c r="E135" s="74">
        <v>109564.58310315666</v>
      </c>
      <c r="F135" s="74">
        <v>81315.871140528005</v>
      </c>
      <c r="G135" s="74">
        <v>32588.680173921592</v>
      </c>
      <c r="H135" s="74">
        <v>465097.99999999965</v>
      </c>
    </row>
    <row r="136" spans="1:8" hidden="1" x14ac:dyDescent="0.45">
      <c r="A136" s="77" t="s">
        <v>472</v>
      </c>
      <c r="B136" s="80"/>
      <c r="C136" s="74">
        <v>168192.7626199451</v>
      </c>
      <c r="D136" s="74">
        <v>118155.42759315597</v>
      </c>
      <c r="E136" s="74">
        <v>109270.61219446739</v>
      </c>
      <c r="F136" s="74">
        <v>51282.68014448465</v>
      </c>
      <c r="G136" s="74">
        <v>23529.517447947132</v>
      </c>
      <c r="H136" s="74">
        <v>470431.00000000111</v>
      </c>
    </row>
    <row r="137" spans="1:8" hidden="1" x14ac:dyDescent="0.45">
      <c r="A137" s="77" t="s">
        <v>473</v>
      </c>
      <c r="B137" s="80"/>
      <c r="C137" s="74">
        <v>152291.8188871344</v>
      </c>
      <c r="D137" s="74">
        <v>122240.17293360927</v>
      </c>
      <c r="E137" s="74">
        <v>93788.748388193402</v>
      </c>
      <c r="F137" s="74">
        <v>60628.307163878068</v>
      </c>
      <c r="G137" s="74">
        <v>31108.952627184357</v>
      </c>
      <c r="H137" s="74">
        <v>460057.99999999994</v>
      </c>
    </row>
    <row r="138" spans="1:8" hidden="1" x14ac:dyDescent="0.45">
      <c r="A138" s="77" t="s">
        <v>474</v>
      </c>
      <c r="B138" s="80"/>
      <c r="C138" s="74">
        <v>155887.07934873059</v>
      </c>
      <c r="D138" s="74">
        <v>113793.1605990898</v>
      </c>
      <c r="E138" s="74">
        <v>60635.146578140884</v>
      </c>
      <c r="F138" s="74">
        <v>53057.101221397541</v>
      </c>
      <c r="G138" s="74">
        <v>27967.512252641467</v>
      </c>
      <c r="H138" s="74">
        <v>411339.99999999889</v>
      </c>
    </row>
    <row r="139" spans="1:8" hidden="1" x14ac:dyDescent="0.45">
      <c r="A139" s="77" t="s">
        <v>475</v>
      </c>
      <c r="B139" s="80"/>
      <c r="C139" s="74">
        <v>55197.110695079093</v>
      </c>
      <c r="D139" s="74">
        <v>61417.274814463621</v>
      </c>
      <c r="E139" s="74">
        <v>44145.861716917236</v>
      </c>
      <c r="F139" s="74">
        <v>24785.138004167184</v>
      </c>
      <c r="G139" s="74">
        <v>18177.614769372743</v>
      </c>
      <c r="H139" s="74">
        <v>203722.99999999921</v>
      </c>
    </row>
    <row r="140" spans="1:8" hidden="1" x14ac:dyDescent="0.45">
      <c r="A140" s="77" t="s">
        <v>476</v>
      </c>
      <c r="B140" s="80"/>
      <c r="C140" s="74">
        <v>83385.52506119285</v>
      </c>
      <c r="D140" s="74">
        <v>81464.080980855302</v>
      </c>
      <c r="E140" s="74">
        <v>69288.644160336247</v>
      </c>
      <c r="F140" s="74">
        <v>26666.288313067762</v>
      </c>
      <c r="G140" s="74">
        <v>19349.461484547755</v>
      </c>
      <c r="H140" s="74">
        <v>280154.00000000012</v>
      </c>
    </row>
    <row r="141" spans="1:8" hidden="1" x14ac:dyDescent="0.45">
      <c r="A141" s="77" t="s">
        <v>477</v>
      </c>
      <c r="B141" s="80"/>
      <c r="C141" s="74">
        <v>58525.992676178605</v>
      </c>
      <c r="D141" s="74">
        <v>40033.542781544733</v>
      </c>
      <c r="E141" s="74">
        <v>27834.353724330056</v>
      </c>
      <c r="F141" s="74">
        <v>21765.126790486789</v>
      </c>
      <c r="G141" s="74">
        <v>10796.984027459863</v>
      </c>
      <c r="H141" s="74">
        <v>158955.99999999988</v>
      </c>
    </row>
    <row r="142" spans="1:8" hidden="1" x14ac:dyDescent="0.45">
      <c r="A142" s="77" t="s">
        <v>478</v>
      </c>
      <c r="B142" s="80"/>
      <c r="C142" s="74">
        <v>67201.644066789595</v>
      </c>
      <c r="D142" s="74">
        <v>229829.61566547738</v>
      </c>
      <c r="E142" s="74">
        <v>244877.73774211944</v>
      </c>
      <c r="F142" s="74">
        <v>242817.92354964887</v>
      </c>
      <c r="G142" s="74">
        <v>335366.07897596492</v>
      </c>
      <c r="H142" s="74">
        <v>1120093.0000000002</v>
      </c>
    </row>
    <row r="143" spans="1:8" hidden="1" x14ac:dyDescent="0.45">
      <c r="A143" s="77" t="s">
        <v>479</v>
      </c>
      <c r="B143" s="80"/>
      <c r="C143" s="74">
        <v>16065.24799147856</v>
      </c>
      <c r="D143" s="74">
        <v>43549.803795903536</v>
      </c>
      <c r="E143" s="74">
        <v>45431.413976323893</v>
      </c>
      <c r="F143" s="74">
        <v>42273.362670468603</v>
      </c>
      <c r="G143" s="74">
        <v>28529.171565825334</v>
      </c>
      <c r="H143" s="74">
        <v>175849.00000000012</v>
      </c>
    </row>
    <row r="144" spans="1:8" hidden="1" x14ac:dyDescent="0.45">
      <c r="A144" s="77" t="s">
        <v>480</v>
      </c>
      <c r="B144" s="80"/>
      <c r="C144" s="78"/>
      <c r="D144" s="74">
        <v>52029.337439270828</v>
      </c>
      <c r="E144" s="74">
        <v>99376.127265911316</v>
      </c>
      <c r="F144" s="74">
        <v>131124.97383958599</v>
      </c>
      <c r="G144" s="74">
        <v>61968.561455231917</v>
      </c>
      <c r="H144" s="74">
        <v>344499.0000000007</v>
      </c>
    </row>
    <row r="145" spans="1:8" hidden="1" x14ac:dyDescent="0.45">
      <c r="A145" s="77" t="s">
        <v>481</v>
      </c>
      <c r="B145" s="80"/>
      <c r="C145" s="74">
        <v>544.14591460664224</v>
      </c>
      <c r="D145" s="74">
        <v>14432.091493160948</v>
      </c>
      <c r="E145" s="74">
        <v>37805.76137723522</v>
      </c>
      <c r="F145" s="74">
        <v>92555.291980259572</v>
      </c>
      <c r="G145" s="74">
        <v>48467.709234737573</v>
      </c>
      <c r="H145" s="74">
        <v>193804.99999999889</v>
      </c>
    </row>
    <row r="146" spans="1:8" hidden="1" x14ac:dyDescent="0.45">
      <c r="A146" s="77" t="s">
        <v>482</v>
      </c>
      <c r="B146" s="80"/>
      <c r="C146" s="74">
        <v>5905.7004265952764</v>
      </c>
      <c r="D146" s="74">
        <v>15985.035793514262</v>
      </c>
      <c r="E146" s="74">
        <v>74480.171163634281</v>
      </c>
      <c r="F146" s="74">
        <v>96545.319993083525</v>
      </c>
      <c r="G146" s="74">
        <v>24953.772623172641</v>
      </c>
      <c r="H146" s="74">
        <v>217870.00000000026</v>
      </c>
    </row>
    <row r="147" spans="1:8" hidden="1" x14ac:dyDescent="0.45">
      <c r="A147" s="77" t="s">
        <v>483</v>
      </c>
      <c r="B147" s="80"/>
      <c r="C147" s="74">
        <v>2145.8628288340306</v>
      </c>
      <c r="D147" s="74">
        <v>24181.901950494826</v>
      </c>
      <c r="E147" s="74">
        <v>78122.065252067361</v>
      </c>
      <c r="F147" s="74">
        <v>65082.819558252493</v>
      </c>
      <c r="G147" s="74">
        <v>30701.350410351315</v>
      </c>
      <c r="H147" s="74">
        <v>200234.00000000061</v>
      </c>
    </row>
    <row r="148" spans="1:8" hidden="1" x14ac:dyDescent="0.45">
      <c r="A148" s="77" t="s">
        <v>484</v>
      </c>
      <c r="B148" s="80"/>
      <c r="C148" s="74">
        <v>4062.0438744306007</v>
      </c>
      <c r="D148" s="74">
        <v>35044.107070391241</v>
      </c>
      <c r="E148" s="74">
        <v>72949.409241942063</v>
      </c>
      <c r="F148" s="74">
        <v>75109.328438398094</v>
      </c>
      <c r="G148" s="74">
        <v>27119.111374838005</v>
      </c>
      <c r="H148" s="74">
        <v>214283.99999999916</v>
      </c>
    </row>
    <row r="149" spans="1:8" hidden="1" x14ac:dyDescent="0.45">
      <c r="A149" s="77" t="s">
        <v>485</v>
      </c>
      <c r="B149" s="80"/>
      <c r="C149" s="74">
        <v>493.19020323264408</v>
      </c>
      <c r="D149" s="74">
        <v>5505.7559604982034</v>
      </c>
      <c r="E149" s="74">
        <v>24337.771828856759</v>
      </c>
      <c r="F149" s="74">
        <v>58747.466413627619</v>
      </c>
      <c r="G149" s="74">
        <v>43070.815593784551</v>
      </c>
      <c r="H149" s="74">
        <v>132155.00000000023</v>
      </c>
    </row>
    <row r="150" spans="1:8" hidden="1" x14ac:dyDescent="0.45">
      <c r="A150" s="77" t="s">
        <v>486</v>
      </c>
      <c r="B150" s="80"/>
      <c r="C150" s="74">
        <v>2093.2128640945893</v>
      </c>
      <c r="D150" s="74">
        <v>16254.949797144232</v>
      </c>
      <c r="E150" s="74">
        <v>48302.713918497197</v>
      </c>
      <c r="F150" s="74">
        <v>72596.408518435099</v>
      </c>
      <c r="G150" s="74">
        <v>77938.714901828906</v>
      </c>
      <c r="H150" s="74">
        <v>217186.00000000026</v>
      </c>
    </row>
    <row r="151" spans="1:8" hidden="1" x14ac:dyDescent="0.45">
      <c r="A151" s="77" t="s">
        <v>487</v>
      </c>
      <c r="B151" s="80"/>
      <c r="C151" s="74">
        <v>23344.378347381426</v>
      </c>
      <c r="D151" s="74">
        <v>46791.868544802521</v>
      </c>
      <c r="E151" s="74">
        <v>61866.217499006554</v>
      </c>
      <c r="F151" s="74">
        <v>64478.019697389573</v>
      </c>
      <c r="G151" s="74">
        <v>44353.515911420036</v>
      </c>
      <c r="H151" s="74">
        <v>240834.00000000003</v>
      </c>
    </row>
    <row r="152" spans="1:8" hidden="1" x14ac:dyDescent="0.45">
      <c r="A152" s="77" t="s">
        <v>488</v>
      </c>
      <c r="B152" s="80"/>
      <c r="C152" s="74">
        <v>21011.160603992928</v>
      </c>
      <c r="D152" s="74">
        <v>37771.591037886094</v>
      </c>
      <c r="E152" s="74">
        <v>43073.595929748313</v>
      </c>
      <c r="F152" s="74">
        <v>41803.235551709033</v>
      </c>
      <c r="G152" s="74">
        <v>23596.416876663705</v>
      </c>
      <c r="H152" s="74">
        <v>167255.99999999945</v>
      </c>
    </row>
    <row r="153" spans="1:8" hidden="1" x14ac:dyDescent="0.45">
      <c r="A153" s="77" t="s">
        <v>489</v>
      </c>
      <c r="B153" s="80"/>
      <c r="C153" s="74">
        <v>7726.2422829702891</v>
      </c>
      <c r="D153" s="74">
        <v>16953.04484649382</v>
      </c>
      <c r="E153" s="74">
        <v>23285.59755960121</v>
      </c>
      <c r="F153" s="74">
        <v>18694.868660088858</v>
      </c>
      <c r="G153" s="74">
        <v>15368.246650845836</v>
      </c>
      <c r="H153" s="74">
        <v>82028</v>
      </c>
    </row>
    <row r="154" spans="1:8" hidden="1" x14ac:dyDescent="0.45">
      <c r="A154" s="77" t="s">
        <v>490</v>
      </c>
      <c r="B154" s="80"/>
      <c r="C154" s="74">
        <v>11805.914614415316</v>
      </c>
      <c r="D154" s="74">
        <v>30354.204071896191</v>
      </c>
      <c r="E154" s="74">
        <v>20778.48732884154</v>
      </c>
      <c r="F154" s="74">
        <v>16565.18389585385</v>
      </c>
      <c r="G154" s="74">
        <v>10893.210088993121</v>
      </c>
      <c r="H154" s="74">
        <v>90396.999999999898</v>
      </c>
    </row>
    <row r="155" spans="1:8" hidden="1" x14ac:dyDescent="0.45">
      <c r="A155" s="77" t="s">
        <v>491</v>
      </c>
      <c r="B155" s="80"/>
      <c r="C155" s="74">
        <v>3961.2561286313921</v>
      </c>
      <c r="D155" s="74">
        <v>6191.6307695019213</v>
      </c>
      <c r="E155" s="74">
        <v>11261.150196895798</v>
      </c>
      <c r="F155" s="74">
        <v>11717.382691623479</v>
      </c>
      <c r="G155" s="74">
        <v>11130.580213347439</v>
      </c>
      <c r="H155" s="74">
        <v>44262.000000000058</v>
      </c>
    </row>
    <row r="156" spans="1:8" hidden="1" x14ac:dyDescent="0.45">
      <c r="A156" s="77" t="s">
        <v>492</v>
      </c>
      <c r="B156" s="80"/>
      <c r="C156" s="74">
        <v>53951.583296838056</v>
      </c>
      <c r="D156" s="74">
        <v>222788.71445541328</v>
      </c>
      <c r="E156" s="74">
        <v>247434.26160022643</v>
      </c>
      <c r="F156" s="74">
        <v>537897.85913637595</v>
      </c>
      <c r="G156" s="74">
        <v>594043.58151114557</v>
      </c>
      <c r="H156" s="74">
        <v>1656115.9999999925</v>
      </c>
    </row>
    <row r="157" spans="1:8" hidden="1" x14ac:dyDescent="0.45">
      <c r="A157" s="77" t="s">
        <v>493</v>
      </c>
      <c r="B157" s="80"/>
      <c r="C157" s="74">
        <v>5403.5861264267969</v>
      </c>
      <c r="D157" s="74">
        <v>22646.465531387203</v>
      </c>
      <c r="E157" s="74">
        <v>53707.577733541279</v>
      </c>
      <c r="F157" s="74">
        <v>69391.366337973552</v>
      </c>
      <c r="G157" s="74">
        <v>71102.004270671139</v>
      </c>
      <c r="H157" s="74">
        <v>222251.00000000067</v>
      </c>
    </row>
    <row r="158" spans="1:8" hidden="1" x14ac:dyDescent="0.45">
      <c r="A158" s="77" t="s">
        <v>494</v>
      </c>
      <c r="B158" s="80"/>
      <c r="C158" s="74">
        <v>3577.1231612070846</v>
      </c>
      <c r="D158" s="74">
        <v>7072.6086849799694</v>
      </c>
      <c r="E158" s="74">
        <v>7143.5704139437212</v>
      </c>
      <c r="F158" s="74">
        <v>5560.3666986519565</v>
      </c>
      <c r="G158" s="74">
        <v>3036.3310412172559</v>
      </c>
      <c r="H158" s="74">
        <v>26390.000000000069</v>
      </c>
    </row>
    <row r="159" spans="1:8" x14ac:dyDescent="0.45">
      <c r="A159" s="77" t="s">
        <v>495</v>
      </c>
      <c r="B159" s="80" t="s">
        <v>67</v>
      </c>
      <c r="C159" s="74">
        <v>81598.530891880539</v>
      </c>
      <c r="D159" s="74">
        <v>188417.40314171309</v>
      </c>
      <c r="E159" s="74">
        <v>395705.11404735286</v>
      </c>
      <c r="F159" s="74">
        <v>638528.88943337125</v>
      </c>
      <c r="G159" s="74">
        <v>1015813.0624856823</v>
      </c>
      <c r="H159" s="74">
        <v>2320062.9999999977</v>
      </c>
    </row>
    <row r="160" spans="1:8" x14ac:dyDescent="0.45">
      <c r="A160" s="77" t="s">
        <v>496</v>
      </c>
      <c r="B160" s="80" t="s">
        <v>69</v>
      </c>
      <c r="C160" s="74">
        <v>124312.40665694856</v>
      </c>
      <c r="D160" s="74">
        <v>368890.26763532043</v>
      </c>
      <c r="E160" s="74">
        <v>600011.07740318147</v>
      </c>
      <c r="F160" s="74">
        <v>708985.96976485697</v>
      </c>
      <c r="G160" s="74">
        <v>1157383.2785396948</v>
      </c>
      <c r="H160" s="74">
        <v>2959582.9999999977</v>
      </c>
    </row>
    <row r="161" spans="1:8" x14ac:dyDescent="0.45">
      <c r="A161" s="77" t="s">
        <v>497</v>
      </c>
      <c r="B161" s="80" t="s">
        <v>71</v>
      </c>
      <c r="C161" s="74">
        <v>9523.0588782925679</v>
      </c>
      <c r="D161" s="74">
        <v>62315.363022307341</v>
      </c>
      <c r="E161" s="74">
        <v>210112.13264876508</v>
      </c>
      <c r="F161" s="74">
        <v>274997.41322667262</v>
      </c>
      <c r="G161" s="74">
        <v>357436.03222396283</v>
      </c>
      <c r="H161" s="74">
        <v>914384.00000000081</v>
      </c>
    </row>
    <row r="162" spans="1:8" x14ac:dyDescent="0.45">
      <c r="A162" s="77" t="s">
        <v>498</v>
      </c>
      <c r="B162" s="80" t="s">
        <v>73</v>
      </c>
      <c r="C162" s="74">
        <v>32683.542167422347</v>
      </c>
      <c r="D162" s="74">
        <v>217180.66379032872</v>
      </c>
      <c r="E162" s="74">
        <v>546901.14227313118</v>
      </c>
      <c r="F162" s="74">
        <v>664217.78054568951</v>
      </c>
      <c r="G162" s="74">
        <v>1218369.8712234301</v>
      </c>
      <c r="H162" s="74">
        <v>2679352.9999999879</v>
      </c>
    </row>
    <row r="163" spans="1:8" x14ac:dyDescent="0.45">
      <c r="A163" s="77" t="s">
        <v>499</v>
      </c>
      <c r="B163" s="80" t="s">
        <v>75</v>
      </c>
      <c r="C163" s="74">
        <v>54468.667889322278</v>
      </c>
      <c r="D163" s="74">
        <v>121504.47583250808</v>
      </c>
      <c r="E163" s="74">
        <v>320331.53192157164</v>
      </c>
      <c r="F163" s="74">
        <v>560322.7003310693</v>
      </c>
      <c r="G163" s="74">
        <v>802842.62402552727</v>
      </c>
      <c r="H163" s="74">
        <v>1859469.9999999977</v>
      </c>
    </row>
    <row r="164" spans="1:8" x14ac:dyDescent="0.45">
      <c r="A164" s="77" t="s">
        <v>500</v>
      </c>
      <c r="B164" s="80" t="s">
        <v>77</v>
      </c>
      <c r="C164" s="74">
        <v>2031883.3522263221</v>
      </c>
      <c r="D164" s="74">
        <v>1473364.402006719</v>
      </c>
      <c r="E164" s="74">
        <v>1228348.4729629762</v>
      </c>
      <c r="F164" s="74">
        <v>905292.25670083985</v>
      </c>
      <c r="G164" s="74">
        <v>599094.51610313018</v>
      </c>
      <c r="H164" s="74">
        <v>6237983.0000000112</v>
      </c>
    </row>
    <row r="165" spans="1:8" hidden="1" x14ac:dyDescent="0.45">
      <c r="A165" s="77" t="s">
        <v>501</v>
      </c>
      <c r="B165" s="80"/>
      <c r="C165" s="74">
        <v>794816.20206259005</v>
      </c>
      <c r="D165" s="74">
        <v>602256.48731783312</v>
      </c>
      <c r="E165" s="74">
        <v>470770.26876926108</v>
      </c>
      <c r="F165" s="74">
        <v>394678.85255424317</v>
      </c>
      <c r="G165" s="74">
        <v>285954.18929607194</v>
      </c>
      <c r="H165" s="74">
        <v>2548476.0000000019</v>
      </c>
    </row>
    <row r="166" spans="1:8" hidden="1" x14ac:dyDescent="0.45">
      <c r="A166" s="77" t="s">
        <v>502</v>
      </c>
      <c r="B166" s="80"/>
      <c r="C166" s="74">
        <v>916493.68416447588</v>
      </c>
      <c r="D166" s="74">
        <v>610355.64324686909</v>
      </c>
      <c r="E166" s="74">
        <v>386795.39625020284</v>
      </c>
      <c r="F166" s="74">
        <v>282725.28156725399</v>
      </c>
      <c r="G166" s="74">
        <v>153175.9947711963</v>
      </c>
      <c r="H166" s="74">
        <v>2349546.0000000023</v>
      </c>
    </row>
    <row r="167" spans="1:8" hidden="1" x14ac:dyDescent="0.45">
      <c r="A167" s="77" t="s">
        <v>503</v>
      </c>
      <c r="B167" s="80"/>
      <c r="C167" s="74">
        <v>978866.10853007797</v>
      </c>
      <c r="D167" s="74">
        <v>1066073.1527919038</v>
      </c>
      <c r="E167" s="74">
        <v>728969.77469537745</v>
      </c>
      <c r="F167" s="74">
        <v>569492.82047853852</v>
      </c>
      <c r="G167" s="74">
        <v>494608.14350410062</v>
      </c>
      <c r="H167" s="74">
        <v>3838010.0000000009</v>
      </c>
    </row>
    <row r="168" spans="1:8" hidden="1" x14ac:dyDescent="0.45">
      <c r="A168" s="77" t="s">
        <v>504</v>
      </c>
      <c r="B168" s="80"/>
      <c r="C168" s="74">
        <v>1268174.2702323007</v>
      </c>
      <c r="D168" s="74">
        <v>600267.28977162729</v>
      </c>
      <c r="E168" s="74">
        <v>318425.27311984909</v>
      </c>
      <c r="F168" s="74">
        <v>273648.9045413573</v>
      </c>
      <c r="G168" s="74">
        <v>206933.26233486438</v>
      </c>
      <c r="H168" s="74">
        <v>2667449.0000000005</v>
      </c>
    </row>
    <row r="169" spans="1:8" hidden="1" x14ac:dyDescent="0.45">
      <c r="A169" s="77" t="s">
        <v>505</v>
      </c>
      <c r="B169" s="80"/>
      <c r="C169" s="74">
        <v>946031.55130577553</v>
      </c>
      <c r="D169" s="74">
        <v>295033.32791471644</v>
      </c>
      <c r="E169" s="74">
        <v>217943.16641087332</v>
      </c>
      <c r="F169" s="74">
        <v>162819.84438913397</v>
      </c>
      <c r="G169" s="74">
        <v>195740.10997950035</v>
      </c>
      <c r="H169" s="74">
        <v>1817568.0000000016</v>
      </c>
    </row>
    <row r="170" spans="1:8" hidden="1" x14ac:dyDescent="0.45">
      <c r="A170" s="77" t="s">
        <v>506</v>
      </c>
      <c r="B170" s="80"/>
      <c r="C170" s="74">
        <v>354343.68057997723</v>
      </c>
      <c r="D170" s="74">
        <v>327386.11271042633</v>
      </c>
      <c r="E170" s="74">
        <v>235014.74947670478</v>
      </c>
      <c r="F170" s="74">
        <v>155801.09667158252</v>
      </c>
      <c r="G170" s="74">
        <v>151021.36056130877</v>
      </c>
      <c r="H170" s="74">
        <v>1223567.0000000007</v>
      </c>
    </row>
    <row r="171" spans="1:8" hidden="1" x14ac:dyDescent="0.45">
      <c r="A171" s="77" t="s">
        <v>507</v>
      </c>
      <c r="B171" s="80"/>
      <c r="C171" s="74">
        <v>430437.52095048979</v>
      </c>
      <c r="D171" s="74">
        <v>271013.05727517343</v>
      </c>
      <c r="E171" s="74">
        <v>183517.2208895589</v>
      </c>
      <c r="F171" s="74">
        <v>114783.00474529502</v>
      </c>
      <c r="G171" s="74">
        <v>105056.19613948319</v>
      </c>
      <c r="H171" s="74">
        <v>1104807.0000000005</v>
      </c>
    </row>
    <row r="172" spans="1:8" hidden="1" x14ac:dyDescent="0.45">
      <c r="A172" s="77" t="s">
        <v>508</v>
      </c>
      <c r="B172" s="80"/>
      <c r="C172" s="74">
        <v>670225.42255213275</v>
      </c>
      <c r="D172" s="74">
        <v>606715.89816438162</v>
      </c>
      <c r="E172" s="74">
        <v>378845.49349061958</v>
      </c>
      <c r="F172" s="74">
        <v>348045.92613992887</v>
      </c>
      <c r="G172" s="74">
        <v>221641.2596529375</v>
      </c>
      <c r="H172" s="74">
        <v>2225473.9999999981</v>
      </c>
    </row>
    <row r="173" spans="1:8" hidden="1" x14ac:dyDescent="0.45">
      <c r="A173" s="77" t="s">
        <v>509</v>
      </c>
      <c r="B173" s="80"/>
      <c r="C173" s="74">
        <v>439738.94033984252</v>
      </c>
      <c r="D173" s="74">
        <v>298343.05783794215</v>
      </c>
      <c r="E173" s="74">
        <v>215499.34322083488</v>
      </c>
      <c r="F173" s="74">
        <v>168970.4381938437</v>
      </c>
      <c r="G173" s="74">
        <v>115099.22040753666</v>
      </c>
      <c r="H173" s="74">
        <v>1237651.0000000019</v>
      </c>
    </row>
    <row r="174" spans="1:8" hidden="1" x14ac:dyDescent="0.45">
      <c r="A174" s="77" t="s">
        <v>510</v>
      </c>
      <c r="B174" s="80"/>
      <c r="C174" s="74">
        <v>273232.25566031592</v>
      </c>
      <c r="D174" s="74">
        <v>284065.86154361721</v>
      </c>
      <c r="E174" s="74">
        <v>226645.76667315629</v>
      </c>
      <c r="F174" s="74">
        <v>212333.92419388791</v>
      </c>
      <c r="G174" s="74">
        <v>194363.19192902331</v>
      </c>
      <c r="H174" s="74">
        <v>1190641.0000000014</v>
      </c>
    </row>
    <row r="175" spans="1:8" hidden="1" x14ac:dyDescent="0.45">
      <c r="A175" s="77" t="s">
        <v>511</v>
      </c>
      <c r="B175" s="80"/>
      <c r="C175" s="74">
        <v>329070.99913646316</v>
      </c>
      <c r="D175" s="74">
        <v>371583.15343684953</v>
      </c>
      <c r="E175" s="74">
        <v>386378.43457185355</v>
      </c>
      <c r="F175" s="74">
        <v>387429.3304092196</v>
      </c>
      <c r="G175" s="74">
        <v>296230.08244561398</v>
      </c>
      <c r="H175" s="74">
        <v>1770691.999999997</v>
      </c>
    </row>
    <row r="176" spans="1:8" hidden="1" x14ac:dyDescent="0.45">
      <c r="A176" s="77" t="s">
        <v>512</v>
      </c>
      <c r="B176" s="80"/>
      <c r="C176" s="74">
        <v>423784.33780995297</v>
      </c>
      <c r="D176" s="74">
        <v>383885.57611784193</v>
      </c>
      <c r="E176" s="74">
        <v>278312.59680426016</v>
      </c>
      <c r="F176" s="74">
        <v>325223.76397464494</v>
      </c>
      <c r="G176" s="74">
        <v>189090.72529329843</v>
      </c>
      <c r="H176" s="74">
        <v>1600297</v>
      </c>
    </row>
    <row r="177" spans="1:8" hidden="1" x14ac:dyDescent="0.45">
      <c r="A177" s="77" t="s">
        <v>513</v>
      </c>
      <c r="B177" s="80"/>
      <c r="C177" s="74">
        <v>230212.25139535189</v>
      </c>
      <c r="D177" s="74">
        <v>213395.97043043541</v>
      </c>
      <c r="E177" s="74">
        <v>175736.58229250638</v>
      </c>
      <c r="F177" s="74">
        <v>183653.25126673005</v>
      </c>
      <c r="G177" s="74">
        <v>161229.94461497635</v>
      </c>
      <c r="H177" s="74">
        <v>964227.99999999895</v>
      </c>
    </row>
    <row r="178" spans="1:8" hidden="1" x14ac:dyDescent="0.45">
      <c r="A178" s="77" t="s">
        <v>514</v>
      </c>
      <c r="B178" s="80"/>
      <c r="C178" s="74">
        <v>613816.42247546278</v>
      </c>
      <c r="D178" s="74">
        <v>423069.41020225815</v>
      </c>
      <c r="E178" s="74">
        <v>441031.65286787489</v>
      </c>
      <c r="F178" s="74">
        <v>456629.26547212194</v>
      </c>
      <c r="G178" s="74">
        <v>444694.24898228358</v>
      </c>
      <c r="H178" s="74">
        <v>2379241.0000000014</v>
      </c>
    </row>
    <row r="179" spans="1:8" x14ac:dyDescent="0.45">
      <c r="A179" s="77" t="s">
        <v>515</v>
      </c>
      <c r="B179" s="80" t="s">
        <v>79</v>
      </c>
      <c r="C179" s="74">
        <v>822251.26112930325</v>
      </c>
      <c r="D179" s="74">
        <v>540438.43330245046</v>
      </c>
      <c r="E179" s="74">
        <v>720159.1847782596</v>
      </c>
      <c r="F179" s="74">
        <v>1133748.0610292742</v>
      </c>
      <c r="G179" s="74">
        <v>919298.05976070918</v>
      </c>
      <c r="H179" s="74">
        <v>4135894.9999999884</v>
      </c>
    </row>
    <row r="180" spans="1:8" hidden="1" x14ac:dyDescent="0.45">
      <c r="A180" s="77" t="s">
        <v>516</v>
      </c>
      <c r="B180" s="80"/>
      <c r="C180" s="74">
        <v>667222.70779733115</v>
      </c>
      <c r="D180" s="74">
        <v>422063.24926440703</v>
      </c>
      <c r="E180" s="74">
        <v>260626.86464516411</v>
      </c>
      <c r="F180" s="74">
        <v>216389.74443582262</v>
      </c>
      <c r="G180" s="74">
        <v>138586.43385727587</v>
      </c>
      <c r="H180" s="74">
        <v>1704889.0000000019</v>
      </c>
    </row>
    <row r="181" spans="1:8" hidden="1" x14ac:dyDescent="0.45">
      <c r="A181" s="77" t="s">
        <v>517</v>
      </c>
      <c r="B181" s="80"/>
      <c r="C181" s="74">
        <v>98867.729272670884</v>
      </c>
      <c r="D181" s="74">
        <v>100593.64215809894</v>
      </c>
      <c r="E181" s="74">
        <v>89305.821897355665</v>
      </c>
      <c r="F181" s="74">
        <v>71862.74966754012</v>
      </c>
      <c r="G181" s="74">
        <v>48164.057004334441</v>
      </c>
      <c r="H181" s="74">
        <v>408793.99999999965</v>
      </c>
    </row>
    <row r="182" spans="1:8" x14ac:dyDescent="0.45">
      <c r="A182" s="77" t="s">
        <v>518</v>
      </c>
      <c r="B182" s="80" t="s">
        <v>81</v>
      </c>
      <c r="C182" s="74">
        <v>236383.54809758705</v>
      </c>
      <c r="D182" s="74">
        <v>158644.0042167553</v>
      </c>
      <c r="E182" s="74">
        <v>173188.35971203851</v>
      </c>
      <c r="F182" s="74">
        <v>225346.47027495108</v>
      </c>
      <c r="G182" s="74">
        <v>330288.61769866728</v>
      </c>
      <c r="H182" s="74">
        <v>1123850.9999999977</v>
      </c>
    </row>
    <row r="183" spans="1:8" hidden="1" x14ac:dyDescent="0.45">
      <c r="A183" s="77" t="s">
        <v>519</v>
      </c>
      <c r="B183" s="80"/>
      <c r="C183" s="74">
        <v>54958.36596052075</v>
      </c>
      <c r="D183" s="74">
        <v>68905.203102033105</v>
      </c>
      <c r="E183" s="74">
        <v>60286.143965337949</v>
      </c>
      <c r="F183" s="74">
        <v>69052.967238445548</v>
      </c>
      <c r="G183" s="74">
        <v>79730.319733662618</v>
      </c>
      <c r="H183" s="74">
        <v>332932.99999999977</v>
      </c>
    </row>
    <row r="184" spans="1:8" hidden="1" x14ac:dyDescent="0.45">
      <c r="A184" s="77" t="s">
        <v>520</v>
      </c>
      <c r="B184" s="80"/>
      <c r="C184" s="74">
        <v>290742.52694745333</v>
      </c>
      <c r="D184" s="74">
        <v>421223.61337276775</v>
      </c>
      <c r="E184" s="74">
        <v>384264.6925121519</v>
      </c>
      <c r="F184" s="74">
        <v>525958.87949872087</v>
      </c>
      <c r="G184" s="74">
        <v>975878.28766890755</v>
      </c>
      <c r="H184" s="74">
        <v>2598067.9999999851</v>
      </c>
    </row>
    <row r="185" spans="1:8" hidden="1" x14ac:dyDescent="0.45">
      <c r="A185" s="77" t="s">
        <v>521</v>
      </c>
      <c r="B185" s="80"/>
      <c r="C185" s="74">
        <v>79883.786227468503</v>
      </c>
      <c r="D185" s="74">
        <v>69274.281622187293</v>
      </c>
      <c r="E185" s="74">
        <v>56220.781348613171</v>
      </c>
      <c r="F185" s="74">
        <v>53223.429181263848</v>
      </c>
      <c r="G185" s="74">
        <v>63265.721620467004</v>
      </c>
      <c r="H185" s="74">
        <v>321868.00000000035</v>
      </c>
    </row>
    <row r="186" spans="1:8" x14ac:dyDescent="0.45">
      <c r="A186" s="77" t="s">
        <v>522</v>
      </c>
      <c r="B186" s="80" t="s">
        <v>83</v>
      </c>
      <c r="C186" s="74">
        <v>209433.94320603149</v>
      </c>
      <c r="D186" s="74">
        <v>366817.56074807065</v>
      </c>
      <c r="E186" s="74">
        <v>455155.40512952523</v>
      </c>
      <c r="F186" s="74">
        <v>722065.1815595536</v>
      </c>
      <c r="G186" s="74">
        <v>1403832.9093568185</v>
      </c>
      <c r="H186" s="74">
        <v>3157304.999999973</v>
      </c>
    </row>
    <row r="187" spans="1:8" x14ac:dyDescent="0.45">
      <c r="A187" s="77" t="s">
        <v>523</v>
      </c>
      <c r="B187" s="80" t="s">
        <v>85</v>
      </c>
      <c r="C187" s="74">
        <v>142660.27847015439</v>
      </c>
      <c r="D187" s="74">
        <v>344608.30338505923</v>
      </c>
      <c r="E187" s="74">
        <v>320771.55932279892</v>
      </c>
      <c r="F187" s="74">
        <v>694673.3587416003</v>
      </c>
      <c r="G187" s="74">
        <v>1105740.5000803904</v>
      </c>
      <c r="H187" s="74">
        <v>2608454.0000000023</v>
      </c>
    </row>
    <row r="188" spans="1:8" hidden="1" x14ac:dyDescent="0.45">
      <c r="A188" s="77" t="s">
        <v>524</v>
      </c>
      <c r="B188" s="80"/>
      <c r="C188" s="74">
        <v>44278.735223580879</v>
      </c>
      <c r="D188" s="74">
        <v>87123.989914133825</v>
      </c>
      <c r="E188" s="74">
        <v>121444.10096367438</v>
      </c>
      <c r="F188" s="74">
        <v>159027.52414478018</v>
      </c>
      <c r="G188" s="74">
        <v>200679.64975383045</v>
      </c>
      <c r="H188" s="74">
        <v>612554.00000000012</v>
      </c>
    </row>
    <row r="189" spans="1:8" hidden="1" x14ac:dyDescent="0.45">
      <c r="A189" s="77" t="s">
        <v>525</v>
      </c>
      <c r="B189" s="80"/>
      <c r="C189" s="74">
        <v>115885.41581043106</v>
      </c>
      <c r="D189" s="74">
        <v>188549.98961132867</v>
      </c>
      <c r="E189" s="74">
        <v>143750.17566654913</v>
      </c>
      <c r="F189" s="74">
        <v>105843.79280242432</v>
      </c>
      <c r="G189" s="74">
        <v>134253.62610926689</v>
      </c>
      <c r="H189" s="74">
        <v>688283.0000000007</v>
      </c>
    </row>
    <row r="190" spans="1:8" hidden="1" x14ac:dyDescent="0.45">
      <c r="A190" s="77" t="s">
        <v>526</v>
      </c>
      <c r="B190" s="80"/>
      <c r="C190" s="74">
        <v>30225.298534455615</v>
      </c>
      <c r="D190" s="74">
        <v>57667.001609045743</v>
      </c>
      <c r="E190" s="74">
        <v>43140.122947049451</v>
      </c>
      <c r="F190" s="74">
        <v>37855.409977299649</v>
      </c>
      <c r="G190" s="74">
        <v>21028.166932149543</v>
      </c>
      <c r="H190" s="74">
        <v>189916.00000000015</v>
      </c>
    </row>
    <row r="191" spans="1:8" hidden="1" x14ac:dyDescent="0.45">
      <c r="A191" s="77" t="s">
        <v>527</v>
      </c>
      <c r="B191" s="80"/>
      <c r="C191" s="74">
        <v>752420.37479004532</v>
      </c>
      <c r="D191" s="74">
        <v>349911.65107485926</v>
      </c>
      <c r="E191" s="74">
        <v>276582.23601270269</v>
      </c>
      <c r="F191" s="74">
        <v>202931.29725465656</v>
      </c>
      <c r="G191" s="74">
        <v>155614.44086773484</v>
      </c>
      <c r="H191" s="74">
        <v>1737459.999999997</v>
      </c>
    </row>
    <row r="192" spans="1:8" hidden="1" x14ac:dyDescent="0.45">
      <c r="A192" s="77" t="s">
        <v>528</v>
      </c>
      <c r="B192" s="80"/>
      <c r="C192" s="74">
        <v>606743.44488149998</v>
      </c>
      <c r="D192" s="74">
        <v>370886.97549688414</v>
      </c>
      <c r="E192" s="74">
        <v>289264.88800202077</v>
      </c>
      <c r="F192" s="74">
        <v>213183.82960273357</v>
      </c>
      <c r="G192" s="74">
        <v>247933.86201685949</v>
      </c>
      <c r="H192" s="74">
        <v>1728012.9999999972</v>
      </c>
    </row>
    <row r="193" spans="1:8" hidden="1" x14ac:dyDescent="0.45">
      <c r="A193" s="77" t="s">
        <v>529</v>
      </c>
      <c r="B193" s="80"/>
      <c r="C193" s="74">
        <v>457049.94694017037</v>
      </c>
      <c r="D193" s="74">
        <v>206379.30942189062</v>
      </c>
      <c r="E193" s="74">
        <v>145546.3621954878</v>
      </c>
      <c r="F193" s="74">
        <v>77175.508531730142</v>
      </c>
      <c r="G193" s="74">
        <v>70816.872910721155</v>
      </c>
      <c r="H193" s="74">
        <v>956968.00000000012</v>
      </c>
    </row>
    <row r="194" spans="1:8" hidden="1" x14ac:dyDescent="0.45">
      <c r="A194" s="77" t="s">
        <v>530</v>
      </c>
      <c r="B194" s="80"/>
      <c r="C194" s="74">
        <v>402898.66170684877</v>
      </c>
      <c r="D194" s="74">
        <v>202038.32040804302</v>
      </c>
      <c r="E194" s="74">
        <v>123611.30638565996</v>
      </c>
      <c r="F194" s="74">
        <v>117642.990679703</v>
      </c>
      <c r="G194" s="74">
        <v>86336.720819745708</v>
      </c>
      <c r="H194" s="74">
        <v>932528.00000000128</v>
      </c>
    </row>
    <row r="195" spans="1:8" hidden="1" x14ac:dyDescent="0.45">
      <c r="A195" s="77" t="s">
        <v>531</v>
      </c>
      <c r="B195" s="80"/>
      <c r="C195" s="74">
        <v>471067.54099956027</v>
      </c>
      <c r="D195" s="74">
        <v>297855.56485685281</v>
      </c>
      <c r="E195" s="74">
        <v>188889.27224672027</v>
      </c>
      <c r="F195" s="74">
        <v>146207.79047018712</v>
      </c>
      <c r="G195" s="74">
        <v>91854.831426679055</v>
      </c>
      <c r="H195" s="74">
        <v>1195875.0000000033</v>
      </c>
    </row>
    <row r="196" spans="1:8" hidden="1" x14ac:dyDescent="0.45">
      <c r="A196" s="77" t="s">
        <v>532</v>
      </c>
      <c r="B196" s="80"/>
      <c r="C196" s="74">
        <v>368465.42545718682</v>
      </c>
      <c r="D196" s="74">
        <v>147149.13351344061</v>
      </c>
      <c r="E196" s="74">
        <v>108571.05761003535</v>
      </c>
      <c r="F196" s="74">
        <v>53602.89401879107</v>
      </c>
      <c r="G196" s="74">
        <v>39408.48940054691</v>
      </c>
      <c r="H196" s="74">
        <v>717196.99999999895</v>
      </c>
    </row>
    <row r="197" spans="1:8" hidden="1" x14ac:dyDescent="0.45">
      <c r="A197" s="77" t="s">
        <v>533</v>
      </c>
      <c r="B197" s="80"/>
      <c r="C197" s="74">
        <v>334852.54435251636</v>
      </c>
      <c r="D197" s="74">
        <v>166745.30415969124</v>
      </c>
      <c r="E197" s="74">
        <v>134606.79547256933</v>
      </c>
      <c r="F197" s="74">
        <v>86552.066749705948</v>
      </c>
      <c r="G197" s="74">
        <v>71049.289265516738</v>
      </c>
      <c r="H197" s="74">
        <v>793805.99999999907</v>
      </c>
    </row>
    <row r="198" spans="1:8" hidden="1" x14ac:dyDescent="0.45">
      <c r="A198" s="77" t="s">
        <v>534</v>
      </c>
      <c r="B198" s="80"/>
      <c r="C198" s="74">
        <v>576104.60615498887</v>
      </c>
      <c r="D198" s="74">
        <v>272417.14558930096</v>
      </c>
      <c r="E198" s="74">
        <v>187437.70127098201</v>
      </c>
      <c r="F198" s="74">
        <v>188751.03897083315</v>
      </c>
      <c r="G198" s="74">
        <v>94194.508013894709</v>
      </c>
      <c r="H198" s="74">
        <v>1318904.9999999988</v>
      </c>
    </row>
    <row r="199" spans="1:8" hidden="1" x14ac:dyDescent="0.45">
      <c r="A199" s="77" t="s">
        <v>535</v>
      </c>
      <c r="B199" s="80"/>
      <c r="C199" s="74">
        <v>415796.11853691249</v>
      </c>
      <c r="D199" s="74">
        <v>211374.24305048853</v>
      </c>
      <c r="E199" s="74">
        <v>160801.01372591718</v>
      </c>
      <c r="F199" s="74">
        <v>106285.15683463021</v>
      </c>
      <c r="G199" s="74">
        <v>98995.467852052621</v>
      </c>
      <c r="H199" s="74">
        <v>993252.00000000128</v>
      </c>
    </row>
    <row r="200" spans="1:8" hidden="1" x14ac:dyDescent="0.45">
      <c r="A200" s="77" t="s">
        <v>536</v>
      </c>
      <c r="B200" s="80"/>
      <c r="C200" s="74">
        <v>492465.31882989168</v>
      </c>
      <c r="D200" s="74">
        <v>223259.29881885537</v>
      </c>
      <c r="E200" s="74">
        <v>178408.54168307973</v>
      </c>
      <c r="F200" s="74">
        <v>130027.68824711336</v>
      </c>
      <c r="G200" s="74">
        <v>152280.15242105987</v>
      </c>
      <c r="H200" s="74">
        <v>1176440.9999999998</v>
      </c>
    </row>
    <row r="201" spans="1:8" hidden="1" x14ac:dyDescent="0.45">
      <c r="A201" s="77" t="s">
        <v>537</v>
      </c>
      <c r="B201" s="80"/>
      <c r="C201" s="74">
        <v>298193.75669620949</v>
      </c>
      <c r="D201" s="74">
        <v>174144.72971208493</v>
      </c>
      <c r="E201" s="74">
        <v>161590.92816982258</v>
      </c>
      <c r="F201" s="74">
        <v>118793.34027382458</v>
      </c>
      <c r="G201" s="74">
        <v>154868.24514805904</v>
      </c>
      <c r="H201" s="74">
        <v>907591.00000000047</v>
      </c>
    </row>
    <row r="202" spans="1:8" hidden="1" x14ac:dyDescent="0.45">
      <c r="A202" s="77" t="s">
        <v>538</v>
      </c>
      <c r="B202" s="80"/>
      <c r="C202" s="74">
        <v>364054.29712648102</v>
      </c>
      <c r="D202" s="74">
        <v>204410.24619125348</v>
      </c>
      <c r="E202" s="74">
        <v>149466.28214101869</v>
      </c>
      <c r="F202" s="74">
        <v>126000.29433857491</v>
      </c>
      <c r="G202" s="74">
        <v>113824.88020267112</v>
      </c>
      <c r="H202" s="74">
        <v>957755.99999999953</v>
      </c>
    </row>
    <row r="203" spans="1:8" hidden="1" x14ac:dyDescent="0.45">
      <c r="A203" s="77" t="s">
        <v>539</v>
      </c>
      <c r="B203" s="80"/>
      <c r="C203" s="74">
        <v>351453.03906254307</v>
      </c>
      <c r="D203" s="74">
        <v>209703.72963480258</v>
      </c>
      <c r="E203" s="74">
        <v>143213.71964768565</v>
      </c>
      <c r="F203" s="74">
        <v>100047.73012772063</v>
      </c>
      <c r="G203" s="74">
        <v>100956.78152724808</v>
      </c>
      <c r="H203" s="74">
        <v>905374.99999999779</v>
      </c>
    </row>
    <row r="204" spans="1:8" hidden="1" x14ac:dyDescent="0.45">
      <c r="A204" s="77" t="s">
        <v>540</v>
      </c>
      <c r="B204" s="80"/>
      <c r="C204" s="74">
        <v>287942.44803856476</v>
      </c>
      <c r="D204" s="74">
        <v>201089.54546340017</v>
      </c>
      <c r="E204" s="74">
        <v>182304.11173159105</v>
      </c>
      <c r="F204" s="74">
        <v>125433.09116637407</v>
      </c>
      <c r="G204" s="74">
        <v>94029.803600070387</v>
      </c>
      <c r="H204" s="74">
        <v>890798.99999999837</v>
      </c>
    </row>
    <row r="205" spans="1:8" hidden="1" x14ac:dyDescent="0.45">
      <c r="A205" s="77" t="s">
        <v>541</v>
      </c>
      <c r="B205" s="80"/>
      <c r="C205" s="74">
        <v>609263.46930939937</v>
      </c>
      <c r="D205" s="74">
        <v>266296.73816528311</v>
      </c>
      <c r="E205" s="74">
        <v>257008.18929964933</v>
      </c>
      <c r="F205" s="74">
        <v>168569.05185065701</v>
      </c>
      <c r="G205" s="74">
        <v>85815.551375014024</v>
      </c>
      <c r="H205" s="74">
        <v>1386953.0000000037</v>
      </c>
    </row>
    <row r="206" spans="1:8" hidden="1" x14ac:dyDescent="0.45">
      <c r="A206" s="77" t="s">
        <v>542</v>
      </c>
      <c r="B206" s="80"/>
      <c r="C206" s="74">
        <v>372155.00864953588</v>
      </c>
      <c r="D206" s="74">
        <v>183322.8376273321</v>
      </c>
      <c r="E206" s="74">
        <v>123972.9768350598</v>
      </c>
      <c r="F206" s="74">
        <v>104959.64494484046</v>
      </c>
      <c r="G206" s="74">
        <v>82771.531943231661</v>
      </c>
      <c r="H206" s="74">
        <v>867182.00000000116</v>
      </c>
    </row>
    <row r="207" spans="1:8" hidden="1" x14ac:dyDescent="0.45">
      <c r="A207" s="77" t="s">
        <v>543</v>
      </c>
      <c r="B207" s="80"/>
      <c r="C207" s="74">
        <v>212003.20500336066</v>
      </c>
      <c r="D207" s="74">
        <v>151287.88094160767</v>
      </c>
      <c r="E207" s="74">
        <v>130917.82420540838</v>
      </c>
      <c r="F207" s="74">
        <v>91624.468519607719</v>
      </c>
      <c r="G207" s="74">
        <v>63250.62133001574</v>
      </c>
      <c r="H207" s="74">
        <v>649084.00000000023</v>
      </c>
    </row>
    <row r="208" spans="1:8" hidden="1" x14ac:dyDescent="0.45">
      <c r="A208" s="77" t="s">
        <v>544</v>
      </c>
      <c r="B208" s="80"/>
      <c r="C208" s="74">
        <v>229307.62101726953</v>
      </c>
      <c r="D208" s="74">
        <v>293025.7257011701</v>
      </c>
      <c r="E208" s="74">
        <v>322656.39149368304</v>
      </c>
      <c r="F208" s="74">
        <v>250320.62106945421</v>
      </c>
      <c r="G208" s="74">
        <v>174449.64071842283</v>
      </c>
      <c r="H208" s="74">
        <v>1269760.0000000028</v>
      </c>
    </row>
    <row r="209" spans="1:8" hidden="1" x14ac:dyDescent="0.45">
      <c r="A209" s="77" t="s">
        <v>545</v>
      </c>
      <c r="B209" s="80"/>
      <c r="C209" s="74">
        <v>230094.00221469632</v>
      </c>
      <c r="D209" s="74">
        <v>190847.08795941752</v>
      </c>
      <c r="E209" s="74">
        <v>201788.0426922513</v>
      </c>
      <c r="F209" s="74">
        <v>151476.95907707908</v>
      </c>
      <c r="G209" s="74">
        <v>125545.90805655619</v>
      </c>
      <c r="H209" s="74">
        <v>899752.00000000163</v>
      </c>
    </row>
    <row r="210" spans="1:8" hidden="1" x14ac:dyDescent="0.45">
      <c r="A210" s="77" t="s">
        <v>546</v>
      </c>
      <c r="B210" s="80"/>
      <c r="C210" s="74">
        <v>531751.18043212604</v>
      </c>
      <c r="D210" s="74">
        <v>299853.42687036132</v>
      </c>
      <c r="E210" s="74">
        <v>205883.08534069851</v>
      </c>
      <c r="F210" s="74">
        <v>159476.06119391174</v>
      </c>
      <c r="G210" s="74">
        <v>114407.24616290283</v>
      </c>
      <c r="H210" s="74">
        <v>1311370.9999999995</v>
      </c>
    </row>
    <row r="211" spans="1:8" hidden="1" x14ac:dyDescent="0.45">
      <c r="A211" s="77" t="s">
        <v>547</v>
      </c>
      <c r="B211" s="80"/>
      <c r="C211" s="74">
        <v>289863.84432489437</v>
      </c>
      <c r="D211" s="74">
        <v>286867.40012322855</v>
      </c>
      <c r="E211" s="74">
        <v>299308.34119416203</v>
      </c>
      <c r="F211" s="74">
        <v>180688.3832294798</v>
      </c>
      <c r="G211" s="74">
        <v>135789.03112823519</v>
      </c>
      <c r="H211" s="74">
        <v>1192516.9999999972</v>
      </c>
    </row>
    <row r="212" spans="1:8" hidden="1" x14ac:dyDescent="0.45">
      <c r="A212" s="77" t="s">
        <v>548</v>
      </c>
      <c r="B212" s="80"/>
      <c r="C212" s="74">
        <v>317735.3280908945</v>
      </c>
      <c r="D212" s="74">
        <v>239632.09251519118</v>
      </c>
      <c r="E212" s="74">
        <v>213919.09311941723</v>
      </c>
      <c r="F212" s="74">
        <v>158391.42076562706</v>
      </c>
      <c r="G212" s="74">
        <v>163427.06550886985</v>
      </c>
      <c r="H212" s="74">
        <v>1093105.0000000012</v>
      </c>
    </row>
    <row r="213" spans="1:8" hidden="1" x14ac:dyDescent="0.45">
      <c r="A213" s="77" t="s">
        <v>549</v>
      </c>
      <c r="B213" s="80"/>
      <c r="C213" s="74">
        <v>340858.14147549571</v>
      </c>
      <c r="D213" s="74">
        <v>154628.25804255728</v>
      </c>
      <c r="E213" s="74">
        <v>128171.96536064302</v>
      </c>
      <c r="F213" s="74">
        <v>93730.80054694046</v>
      </c>
      <c r="G213" s="74">
        <v>70743.834574364359</v>
      </c>
      <c r="H213" s="74">
        <v>788132.9999999986</v>
      </c>
    </row>
    <row r="214" spans="1:8" hidden="1" x14ac:dyDescent="0.45">
      <c r="A214" s="77" t="s">
        <v>550</v>
      </c>
      <c r="B214" s="80"/>
      <c r="C214" s="74">
        <v>383733.2661768074</v>
      </c>
      <c r="D214" s="74">
        <v>186180.21324689558</v>
      </c>
      <c r="E214" s="74">
        <v>165651.558821377</v>
      </c>
      <c r="F214" s="74">
        <v>128046.05917887893</v>
      </c>
      <c r="G214" s="74">
        <v>123300.9025760418</v>
      </c>
      <c r="H214" s="74">
        <v>986912.00000000081</v>
      </c>
    </row>
    <row r="215" spans="1:8" hidden="1" x14ac:dyDescent="0.45">
      <c r="A215" s="77" t="s">
        <v>551</v>
      </c>
      <c r="B215" s="80"/>
      <c r="C215" s="74">
        <v>262195.224489477</v>
      </c>
      <c r="D215" s="74">
        <v>189565.28684949869</v>
      </c>
      <c r="E215" s="74">
        <v>160266.31557784628</v>
      </c>
      <c r="F215" s="74">
        <v>104226.10146154124</v>
      </c>
      <c r="G215" s="74">
        <v>67726.071621636816</v>
      </c>
      <c r="H215" s="74">
        <v>783978.99999999872</v>
      </c>
    </row>
    <row r="216" spans="1:8" hidden="1" x14ac:dyDescent="0.45">
      <c r="A216" s="77" t="s">
        <v>552</v>
      </c>
      <c r="B216" s="80"/>
      <c r="C216" s="74">
        <v>246673.90059231245</v>
      </c>
      <c r="D216" s="74">
        <v>185758.80303436075</v>
      </c>
      <c r="E216" s="74">
        <v>231380.89562268482</v>
      </c>
      <c r="F216" s="74">
        <v>138989.95011143049</v>
      </c>
      <c r="G216" s="74">
        <v>106687.45063921066</v>
      </c>
      <c r="H216" s="74">
        <v>909491.00000000198</v>
      </c>
    </row>
    <row r="217" spans="1:8" hidden="1" x14ac:dyDescent="0.45">
      <c r="A217" s="77" t="s">
        <v>553</v>
      </c>
      <c r="B217" s="80"/>
      <c r="C217" s="74">
        <v>421023.84887904028</v>
      </c>
      <c r="D217" s="74">
        <v>284415.43293699488</v>
      </c>
      <c r="E217" s="74">
        <v>271284.72327735566</v>
      </c>
      <c r="F217" s="74">
        <v>179364.29132656794</v>
      </c>
      <c r="G217" s="74">
        <v>144801.70358004147</v>
      </c>
      <c r="H217" s="74">
        <v>1300889.9999999949</v>
      </c>
    </row>
    <row r="218" spans="1:8" hidden="1" x14ac:dyDescent="0.45">
      <c r="A218" s="77" t="s">
        <v>554</v>
      </c>
      <c r="B218" s="80"/>
      <c r="C218" s="74">
        <v>651243.94125408062</v>
      </c>
      <c r="D218" s="74">
        <v>302334.68068117555</v>
      </c>
      <c r="E218" s="74">
        <v>195819.43441890675</v>
      </c>
      <c r="F218" s="74">
        <v>163418.47097280095</v>
      </c>
      <c r="G218" s="74">
        <v>125309.47267303478</v>
      </c>
      <c r="H218" s="74">
        <v>1438125.9999999993</v>
      </c>
    </row>
    <row r="219" spans="1:8" hidden="1" x14ac:dyDescent="0.45">
      <c r="A219" s="77" t="s">
        <v>555</v>
      </c>
      <c r="B219" s="80"/>
      <c r="C219" s="74">
        <v>580594.76788235107</v>
      </c>
      <c r="D219" s="74">
        <v>446130.70182302885</v>
      </c>
      <c r="E219" s="74">
        <v>386825.45687661238</v>
      </c>
      <c r="F219" s="74">
        <v>249067.14985002167</v>
      </c>
      <c r="G219" s="74">
        <v>150960.92356798597</v>
      </c>
      <c r="H219" s="74">
        <v>1813578.9999999935</v>
      </c>
    </row>
    <row r="220" spans="1:8" hidden="1" x14ac:dyDescent="0.45">
      <c r="A220" s="77" t="s">
        <v>556</v>
      </c>
      <c r="B220" s="80"/>
      <c r="C220" s="74">
        <v>38068.875132544905</v>
      </c>
      <c r="D220" s="74">
        <v>24930.003659221235</v>
      </c>
      <c r="E220" s="74">
        <v>17979.348275445744</v>
      </c>
      <c r="F220" s="74">
        <v>12203.858575989218</v>
      </c>
      <c r="G220" s="74">
        <v>28789.914356798974</v>
      </c>
      <c r="H220" s="74">
        <v>121972.00000000035</v>
      </c>
    </row>
    <row r="221" spans="1:8" hidden="1" x14ac:dyDescent="0.45">
      <c r="A221" s="77" t="s">
        <v>557</v>
      </c>
      <c r="B221" s="80"/>
      <c r="C221" s="74">
        <v>83714.760468669294</v>
      </c>
      <c r="D221" s="74">
        <v>118396.33209528981</v>
      </c>
      <c r="E221" s="74">
        <v>102744.65721364523</v>
      </c>
      <c r="F221" s="74">
        <v>103198.86747701015</v>
      </c>
      <c r="G221" s="74">
        <v>112280.38274538581</v>
      </c>
      <c r="H221" s="74">
        <v>520334.99999999866</v>
      </c>
    </row>
    <row r="222" spans="1:8" hidden="1" x14ac:dyDescent="0.45">
      <c r="A222" s="77" t="s">
        <v>558</v>
      </c>
      <c r="B222" s="80"/>
      <c r="C222" s="74">
        <v>25403.542351385495</v>
      </c>
      <c r="D222" s="74">
        <v>37945.526541005485</v>
      </c>
      <c r="E222" s="74">
        <v>42178.592794271135</v>
      </c>
      <c r="F222" s="74">
        <v>27991.492620470264</v>
      </c>
      <c r="G222" s="74">
        <v>68375.845692867646</v>
      </c>
      <c r="H222" s="74">
        <v>201894.99999999927</v>
      </c>
    </row>
    <row r="223" spans="1:8" hidden="1" x14ac:dyDescent="0.45">
      <c r="A223" s="77" t="s">
        <v>559</v>
      </c>
      <c r="B223" s="80"/>
      <c r="C223" s="74">
        <v>394669.29676762904</v>
      </c>
      <c r="D223" s="74">
        <v>292180.24607435486</v>
      </c>
      <c r="E223" s="74">
        <v>338512.95857960335</v>
      </c>
      <c r="F223" s="74">
        <v>374511.95705986785</v>
      </c>
      <c r="G223" s="74">
        <v>505388.54151854612</v>
      </c>
      <c r="H223" s="74">
        <v>1905262.9999999914</v>
      </c>
    </row>
    <row r="224" spans="1:8" hidden="1" x14ac:dyDescent="0.45">
      <c r="A224" s="77" t="s">
        <v>560</v>
      </c>
      <c r="B224" s="80"/>
      <c r="C224" s="74">
        <v>60836.20376224065</v>
      </c>
      <c r="D224" s="74">
        <v>86590.326324358306</v>
      </c>
      <c r="E224" s="74">
        <v>73416.038783934389</v>
      </c>
      <c r="F224" s="74">
        <v>47569.493345622221</v>
      </c>
      <c r="G224" s="74">
        <v>45061.937783844318</v>
      </c>
      <c r="H224" s="74">
        <v>313473.99999999988</v>
      </c>
    </row>
    <row r="225" spans="1:8" hidden="1" x14ac:dyDescent="0.45">
      <c r="A225" s="77" t="s">
        <v>561</v>
      </c>
      <c r="B225" s="80"/>
      <c r="C225" s="74">
        <v>38561.706177024855</v>
      </c>
      <c r="D225" s="74">
        <v>43424.450194622106</v>
      </c>
      <c r="E225" s="74">
        <v>51804.368886762204</v>
      </c>
      <c r="F225" s="74">
        <v>57145.765888775044</v>
      </c>
      <c r="G225" s="74">
        <v>59504.708852815769</v>
      </c>
      <c r="H225" s="74">
        <v>250440.99999999959</v>
      </c>
    </row>
    <row r="226" spans="1:8" hidden="1" x14ac:dyDescent="0.45">
      <c r="A226" s="77" t="s">
        <v>562</v>
      </c>
      <c r="B226" s="80"/>
      <c r="C226" s="74">
        <v>179114.16441045917</v>
      </c>
      <c r="D226" s="74">
        <v>102112.10668042427</v>
      </c>
      <c r="E226" s="74">
        <v>70370.511510159689</v>
      </c>
      <c r="F226" s="74">
        <v>43194.510188689965</v>
      </c>
      <c r="G226" s="74">
        <v>57423.70721026665</v>
      </c>
      <c r="H226" s="74">
        <v>452214.99999999854</v>
      </c>
    </row>
    <row r="227" spans="1:8" hidden="1" x14ac:dyDescent="0.45">
      <c r="A227" s="77" t="s">
        <v>563</v>
      </c>
      <c r="B227" s="80"/>
      <c r="C227" s="74">
        <v>228648.87104602941</v>
      </c>
      <c r="D227" s="74">
        <v>252833.32642518828</v>
      </c>
      <c r="E227" s="74">
        <v>194473.60779049061</v>
      </c>
      <c r="F227" s="74">
        <v>161819.62261522561</v>
      </c>
      <c r="G227" s="74">
        <v>237082.57212306635</v>
      </c>
      <c r="H227" s="74">
        <v>1074857.9999999979</v>
      </c>
    </row>
    <row r="228" spans="1:8" hidden="1" x14ac:dyDescent="0.45">
      <c r="A228" s="77" t="s">
        <v>564</v>
      </c>
      <c r="B228" s="80"/>
      <c r="C228" s="74">
        <v>340328.22738268401</v>
      </c>
      <c r="D228" s="74">
        <v>211050.14247891685</v>
      </c>
      <c r="E228" s="74">
        <v>100301.69932046041</v>
      </c>
      <c r="F228" s="74">
        <v>67286.932091406095</v>
      </c>
      <c r="G228" s="74">
        <v>64717.998726532474</v>
      </c>
      <c r="H228" s="74">
        <v>783684.99999999849</v>
      </c>
    </row>
    <row r="229" spans="1:8" hidden="1" x14ac:dyDescent="0.45">
      <c r="A229" s="77" t="s">
        <v>565</v>
      </c>
      <c r="B229" s="80"/>
      <c r="C229" s="74">
        <v>139739.53427181463</v>
      </c>
      <c r="D229" s="74">
        <v>232639.45435908297</v>
      </c>
      <c r="E229" s="74">
        <v>259843.9569519744</v>
      </c>
      <c r="F229" s="74">
        <v>286872.37686949957</v>
      </c>
      <c r="G229" s="74">
        <v>376856.67754762818</v>
      </c>
      <c r="H229" s="74">
        <v>1295952.0000000009</v>
      </c>
    </row>
    <row r="230" spans="1:8" hidden="1" x14ac:dyDescent="0.45">
      <c r="A230" s="77" t="s">
        <v>566</v>
      </c>
      <c r="B230" s="80"/>
      <c r="C230" s="74">
        <v>79778.224740325139</v>
      </c>
      <c r="D230" s="74">
        <v>73331.563770587105</v>
      </c>
      <c r="E230" s="74">
        <v>79732.958588875685</v>
      </c>
      <c r="F230" s="74">
        <v>92541.586675033119</v>
      </c>
      <c r="G230" s="74">
        <v>128732.66622517862</v>
      </c>
      <c r="H230" s="74">
        <v>454117.00000000116</v>
      </c>
    </row>
    <row r="231" spans="1:8" hidden="1" x14ac:dyDescent="0.45">
      <c r="A231" s="77" t="s">
        <v>567</v>
      </c>
      <c r="B231" s="80"/>
      <c r="C231" s="74">
        <v>298037.83363233495</v>
      </c>
      <c r="D231" s="74">
        <v>106445.13112281667</v>
      </c>
      <c r="E231" s="74">
        <v>71544.0256384393</v>
      </c>
      <c r="F231" s="74">
        <v>41832.529332358594</v>
      </c>
      <c r="G231" s="74">
        <v>40247.480274050482</v>
      </c>
      <c r="H231" s="74">
        <v>558107.00000000047</v>
      </c>
    </row>
    <row r="232" spans="1:8" hidden="1" x14ac:dyDescent="0.45">
      <c r="A232" s="77" t="s">
        <v>568</v>
      </c>
      <c r="B232" s="80"/>
      <c r="C232" s="74">
        <v>309492.18634351506</v>
      </c>
      <c r="D232" s="74">
        <v>222056.66905546424</v>
      </c>
      <c r="E232" s="74">
        <v>169178.07188422387</v>
      </c>
      <c r="F232" s="74">
        <v>93404.165108262227</v>
      </c>
      <c r="G232" s="74">
        <v>84476.907608534384</v>
      </c>
      <c r="H232" s="74">
        <v>878608.00000000023</v>
      </c>
    </row>
    <row r="233" spans="1:8" hidden="1" x14ac:dyDescent="0.45">
      <c r="A233" s="77" t="s">
        <v>569</v>
      </c>
      <c r="B233" s="80"/>
      <c r="C233" s="74">
        <v>350112.61415043531</v>
      </c>
      <c r="D233" s="74">
        <v>144895.01878301185</v>
      </c>
      <c r="E233" s="74">
        <v>109124.47431278518</v>
      </c>
      <c r="F233" s="74">
        <v>54794.903247899041</v>
      </c>
      <c r="G233" s="74">
        <v>42546.989505869002</v>
      </c>
      <c r="H233" s="74">
        <v>701474.00000000256</v>
      </c>
    </row>
    <row r="234" spans="1:8" hidden="1" x14ac:dyDescent="0.45">
      <c r="A234" s="77" t="s">
        <v>570</v>
      </c>
      <c r="B234" s="80"/>
      <c r="C234" s="74">
        <v>314567.49841453158</v>
      </c>
      <c r="D234" s="74">
        <v>307477.51665634336</v>
      </c>
      <c r="E234" s="74">
        <v>186146.35956988699</v>
      </c>
      <c r="F234" s="74">
        <v>159506.41443503872</v>
      </c>
      <c r="G234" s="74">
        <v>86151.210924199346</v>
      </c>
      <c r="H234" s="74">
        <v>1053849</v>
      </c>
    </row>
    <row r="235" spans="1:8" hidden="1" x14ac:dyDescent="0.45">
      <c r="A235" s="77" t="s">
        <v>571</v>
      </c>
      <c r="B235" s="80"/>
      <c r="C235" s="74">
        <v>537156.15014499344</v>
      </c>
      <c r="D235" s="74">
        <v>228737.91818888276</v>
      </c>
      <c r="E235" s="74">
        <v>191191.65067797285</v>
      </c>
      <c r="F235" s="74">
        <v>123147.36335518729</v>
      </c>
      <c r="G235" s="74">
        <v>92329.917632964294</v>
      </c>
      <c r="H235" s="74">
        <v>1172563.0000000028</v>
      </c>
    </row>
    <row r="236" spans="1:8" hidden="1" x14ac:dyDescent="0.45">
      <c r="A236" s="77" t="s">
        <v>572</v>
      </c>
      <c r="B236" s="80"/>
      <c r="C236" s="74">
        <v>583129.13869196957</v>
      </c>
      <c r="D236" s="74">
        <v>443433.52633585234</v>
      </c>
      <c r="E236" s="74">
        <v>287870.84447911376</v>
      </c>
      <c r="F236" s="74">
        <v>161961.17946802246</v>
      </c>
      <c r="G236" s="74">
        <v>120183.3110250413</v>
      </c>
      <c r="H236" s="74">
        <v>1596578.0000000037</v>
      </c>
    </row>
    <row r="237" spans="1:8" hidden="1" x14ac:dyDescent="0.45">
      <c r="A237" s="77" t="s">
        <v>573</v>
      </c>
      <c r="B237" s="80"/>
      <c r="C237" s="74">
        <v>1031884.5435722778</v>
      </c>
      <c r="D237" s="74">
        <v>556932.9593343219</v>
      </c>
      <c r="E237" s="74">
        <v>428517.13846690021</v>
      </c>
      <c r="F237" s="74">
        <v>314400.50944910583</v>
      </c>
      <c r="G237" s="74">
        <v>328867.84917739412</v>
      </c>
      <c r="H237" s="74">
        <v>2660603.0000000093</v>
      </c>
    </row>
    <row r="238" spans="1:8" hidden="1" x14ac:dyDescent="0.45">
      <c r="A238" s="77" t="s">
        <v>574</v>
      </c>
      <c r="B238" s="80"/>
      <c r="C238" s="74">
        <v>347113.64022327791</v>
      </c>
      <c r="D238" s="74">
        <v>272108.9177153054</v>
      </c>
      <c r="E238" s="74">
        <v>166499.25918900478</v>
      </c>
      <c r="F238" s="74">
        <v>105078.2276842821</v>
      </c>
      <c r="G238" s="74">
        <v>160157.95518812965</v>
      </c>
      <c r="H238" s="74">
        <v>1050957.9999999974</v>
      </c>
    </row>
    <row r="239" spans="1:8" hidden="1" x14ac:dyDescent="0.45">
      <c r="A239" s="77" t="s">
        <v>575</v>
      </c>
      <c r="B239" s="80"/>
      <c r="C239" s="74">
        <v>1063024.4995733467</v>
      </c>
      <c r="D239" s="74">
        <v>599162.96817563905</v>
      </c>
      <c r="E239" s="74">
        <v>403433.89589794358</v>
      </c>
      <c r="F239" s="74">
        <v>251519.73002680758</v>
      </c>
      <c r="G239" s="74">
        <v>169574.90632626196</v>
      </c>
      <c r="H239" s="74">
        <v>2486715.9999999981</v>
      </c>
    </row>
    <row r="240" spans="1:8" hidden="1" x14ac:dyDescent="0.45">
      <c r="A240" s="77" t="s">
        <v>576</v>
      </c>
      <c r="B240" s="80"/>
      <c r="C240" s="74">
        <v>419391.09745716798</v>
      </c>
      <c r="D240" s="74">
        <v>362118.90977017564</v>
      </c>
      <c r="E240" s="74">
        <v>364095.3935232425</v>
      </c>
      <c r="F240" s="74">
        <v>279771.16359033395</v>
      </c>
      <c r="G240" s="74">
        <v>203022.43565908057</v>
      </c>
      <c r="H240" s="74">
        <v>1628399.0000000009</v>
      </c>
    </row>
    <row r="241" spans="1:8" hidden="1" x14ac:dyDescent="0.45">
      <c r="A241" s="77" t="s">
        <v>577</v>
      </c>
      <c r="B241" s="80"/>
      <c r="C241" s="74">
        <v>366483.66217665799</v>
      </c>
      <c r="D241" s="74">
        <v>172681.28164897222</v>
      </c>
      <c r="E241" s="74">
        <v>111057.79504212552</v>
      </c>
      <c r="F241" s="74">
        <v>69897.529416746824</v>
      </c>
      <c r="G241" s="74">
        <v>67688.731715497561</v>
      </c>
      <c r="H241" s="74">
        <v>787809.00000000035</v>
      </c>
    </row>
    <row r="242" spans="1:8" hidden="1" x14ac:dyDescent="0.45">
      <c r="A242" s="77" t="s">
        <v>578</v>
      </c>
      <c r="B242" s="80"/>
      <c r="C242" s="74">
        <v>315994.78673787689</v>
      </c>
      <c r="D242" s="74">
        <v>175668.03989004204</v>
      </c>
      <c r="E242" s="74">
        <v>114706.94615820226</v>
      </c>
      <c r="F242" s="74">
        <v>54195.071099241097</v>
      </c>
      <c r="G242" s="74">
        <v>33537.156114637372</v>
      </c>
      <c r="H242" s="74">
        <v>694102.0000000007</v>
      </c>
    </row>
    <row r="243" spans="1:8" hidden="1" x14ac:dyDescent="0.45">
      <c r="A243" s="77" t="s">
        <v>579</v>
      </c>
      <c r="B243" s="80"/>
      <c r="C243" s="74">
        <v>579731.75026916678</v>
      </c>
      <c r="D243" s="74">
        <v>297304.07842400367</v>
      </c>
      <c r="E243" s="74">
        <v>143258.03028774349</v>
      </c>
      <c r="F243" s="74">
        <v>95733.167134467847</v>
      </c>
      <c r="G243" s="74">
        <v>76858.973884619103</v>
      </c>
      <c r="H243" s="74">
        <v>1192885.9999999991</v>
      </c>
    </row>
    <row r="244" spans="1:8" hidden="1" x14ac:dyDescent="0.45">
      <c r="A244" s="77" t="s">
        <v>580</v>
      </c>
      <c r="B244" s="80"/>
      <c r="C244" s="74">
        <v>649730.07719454647</v>
      </c>
      <c r="D244" s="74">
        <v>394632.21217183623</v>
      </c>
      <c r="E244" s="74">
        <v>290569.58572328481</v>
      </c>
      <c r="F244" s="74">
        <v>183731.29734258095</v>
      </c>
      <c r="G244" s="74">
        <v>149415.82756775391</v>
      </c>
      <c r="H244" s="74">
        <v>1668079.0000000035</v>
      </c>
    </row>
    <row r="245" spans="1:8" hidden="1" x14ac:dyDescent="0.45">
      <c r="A245" s="77" t="s">
        <v>581</v>
      </c>
      <c r="B245" s="80"/>
      <c r="C245" s="74">
        <v>159177.5499202963</v>
      </c>
      <c r="D245" s="74">
        <v>473062.33076178248</v>
      </c>
      <c r="E245" s="74">
        <v>424341.52021241072</v>
      </c>
      <c r="F245" s="74">
        <v>601345.02252288454</v>
      </c>
      <c r="G245" s="74">
        <v>722748.57658262528</v>
      </c>
      <c r="H245" s="74">
        <v>2380675.0000000028</v>
      </c>
    </row>
    <row r="246" spans="1:8" hidden="1" x14ac:dyDescent="0.45">
      <c r="A246" s="77" t="s">
        <v>582</v>
      </c>
      <c r="B246" s="80"/>
      <c r="C246" s="74">
        <v>253002.0787740729</v>
      </c>
      <c r="D246" s="74">
        <v>252950.42716329053</v>
      </c>
      <c r="E246" s="74">
        <v>283526.2409563128</v>
      </c>
      <c r="F246" s="74">
        <v>213489.2295830865</v>
      </c>
      <c r="G246" s="74">
        <v>149081.0235232368</v>
      </c>
      <c r="H246" s="74">
        <v>1152049.0000000028</v>
      </c>
    </row>
    <row r="247" spans="1:8" hidden="1" x14ac:dyDescent="0.45">
      <c r="A247" s="77" t="s">
        <v>583</v>
      </c>
      <c r="B247" s="80"/>
      <c r="C247" s="74">
        <v>447140.48071313964</v>
      </c>
      <c r="D247" s="74">
        <v>346018.5439937716</v>
      </c>
      <c r="E247" s="74">
        <v>233606.20880590205</v>
      </c>
      <c r="F247" s="74">
        <v>132134.80213907917</v>
      </c>
      <c r="G247" s="74">
        <v>123156.9643481071</v>
      </c>
      <c r="H247" s="74">
        <v>1282057.000000004</v>
      </c>
    </row>
    <row r="248" spans="1:8" hidden="1" x14ac:dyDescent="0.45">
      <c r="A248" s="77" t="s">
        <v>584</v>
      </c>
      <c r="B248" s="80"/>
      <c r="C248" s="74">
        <v>380629.3192685839</v>
      </c>
      <c r="D248" s="74">
        <v>283317.87334656779</v>
      </c>
      <c r="E248" s="74">
        <v>190735.53609661871</v>
      </c>
      <c r="F248" s="74">
        <v>119430.12932869206</v>
      </c>
      <c r="G248" s="74">
        <v>89743.141959538334</v>
      </c>
      <c r="H248" s="74">
        <v>1063855.9999999979</v>
      </c>
    </row>
    <row r="249" spans="1:8" hidden="1" x14ac:dyDescent="0.45">
      <c r="A249" s="77" t="s">
        <v>585</v>
      </c>
      <c r="B249" s="80"/>
      <c r="C249" s="74">
        <v>299497.14173849672</v>
      </c>
      <c r="D249" s="74">
        <v>155832.57753491559</v>
      </c>
      <c r="E249" s="74">
        <v>117624.45145377639</v>
      </c>
      <c r="F249" s="74">
        <v>70066.842720436529</v>
      </c>
      <c r="G249" s="74">
        <v>44147.986552375187</v>
      </c>
      <c r="H249" s="74">
        <v>687169.00000000186</v>
      </c>
    </row>
    <row r="250" spans="1:8" hidden="1" x14ac:dyDescent="0.45">
      <c r="A250" s="77" t="s">
        <v>586</v>
      </c>
      <c r="B250" s="80"/>
      <c r="C250" s="74">
        <v>252489.61017179643</v>
      </c>
      <c r="D250" s="74">
        <v>158777.26832355434</v>
      </c>
      <c r="E250" s="74">
        <v>85783.908945701682</v>
      </c>
      <c r="F250" s="74">
        <v>71478.450534568809</v>
      </c>
      <c r="G250" s="74">
        <v>69176.762024378477</v>
      </c>
      <c r="H250" s="74">
        <v>637705.99999999907</v>
      </c>
    </row>
    <row r="251" spans="1:8" hidden="1" x14ac:dyDescent="0.45">
      <c r="A251" s="77" t="s">
        <v>587</v>
      </c>
      <c r="B251" s="80"/>
      <c r="C251" s="74">
        <v>404365.08301548025</v>
      </c>
      <c r="D251" s="74">
        <v>180048.80531422418</v>
      </c>
      <c r="E251" s="74">
        <v>131165.32151403039</v>
      </c>
      <c r="F251" s="74">
        <v>69388.973230704461</v>
      </c>
      <c r="G251" s="74">
        <v>57415.816925561099</v>
      </c>
      <c r="H251" s="74">
        <v>842383.99999999651</v>
      </c>
    </row>
    <row r="252" spans="1:8" hidden="1" x14ac:dyDescent="0.45">
      <c r="A252" s="77" t="s">
        <v>588</v>
      </c>
      <c r="B252" s="80"/>
      <c r="C252" s="74">
        <v>416759.386874413</v>
      </c>
      <c r="D252" s="74">
        <v>355702.34931710735</v>
      </c>
      <c r="E252" s="74">
        <v>217049.83176108307</v>
      </c>
      <c r="F252" s="74">
        <v>184338.17624632936</v>
      </c>
      <c r="G252" s="74">
        <v>84776.255801066858</v>
      </c>
      <c r="H252" s="74">
        <v>1258626.0000000033</v>
      </c>
    </row>
    <row r="253" spans="1:8" hidden="1" x14ac:dyDescent="0.45">
      <c r="A253" s="77" t="s">
        <v>589</v>
      </c>
      <c r="B253" s="80"/>
      <c r="C253" s="74">
        <v>320473.41226444679</v>
      </c>
      <c r="D253" s="74">
        <v>323075.63426830526</v>
      </c>
      <c r="E253" s="74">
        <v>224331.22841315804</v>
      </c>
      <c r="F253" s="74">
        <v>177547.13105464904</v>
      </c>
      <c r="G253" s="74">
        <v>143432.59399944061</v>
      </c>
      <c r="H253" s="74">
        <v>1188860.0000000016</v>
      </c>
    </row>
    <row r="254" spans="1:8" hidden="1" x14ac:dyDescent="0.45">
      <c r="A254" s="77" t="s">
        <v>590</v>
      </c>
      <c r="B254" s="80"/>
      <c r="C254" s="74">
        <v>191776.68161821188</v>
      </c>
      <c r="D254" s="74">
        <v>286258.60083784739</v>
      </c>
      <c r="E254" s="74">
        <v>301585.46379327076</v>
      </c>
      <c r="F254" s="74">
        <v>257788.09812894496</v>
      </c>
      <c r="G254" s="74">
        <v>169979.15562172508</v>
      </c>
      <c r="H254" s="74">
        <v>1207387.9999999993</v>
      </c>
    </row>
    <row r="255" spans="1:8" hidden="1" x14ac:dyDescent="0.45">
      <c r="A255" s="77" t="s">
        <v>591</v>
      </c>
      <c r="B255" s="80"/>
      <c r="C255" s="74">
        <v>111560.31534021057</v>
      </c>
      <c r="D255" s="74">
        <v>295045.33642789128</v>
      </c>
      <c r="E255" s="74">
        <v>271425.63166605076</v>
      </c>
      <c r="F255" s="74">
        <v>349965.54125831922</v>
      </c>
      <c r="G255" s="74">
        <v>338652.17530752887</v>
      </c>
      <c r="H255" s="74">
        <v>1366648.9999999979</v>
      </c>
    </row>
    <row r="256" spans="1:8" hidden="1" x14ac:dyDescent="0.45">
      <c r="A256" s="77" t="s">
        <v>592</v>
      </c>
      <c r="B256" s="80"/>
      <c r="C256" s="74">
        <v>572141.50089498982</v>
      </c>
      <c r="D256" s="74">
        <v>216331.0335425869</v>
      </c>
      <c r="E256" s="74">
        <v>136700.64422082854</v>
      </c>
      <c r="F256" s="74">
        <v>63994.45965057279</v>
      </c>
      <c r="G256" s="74">
        <v>27070.36169102243</v>
      </c>
      <c r="H256" s="74">
        <v>1016238.0000000005</v>
      </c>
    </row>
    <row r="257" spans="1:8" hidden="1" x14ac:dyDescent="0.45">
      <c r="A257" s="77" t="s">
        <v>593</v>
      </c>
      <c r="B257" s="80"/>
      <c r="C257" s="74">
        <v>654538.90332685551</v>
      </c>
      <c r="D257" s="74">
        <v>198888.90658005222</v>
      </c>
      <c r="E257" s="74">
        <v>106555.73001017272</v>
      </c>
      <c r="F257" s="74">
        <v>43603.876927020632</v>
      </c>
      <c r="G257" s="74">
        <v>15445.583155899947</v>
      </c>
      <c r="H257" s="74">
        <v>1019033.0000000027</v>
      </c>
    </row>
    <row r="258" spans="1:8" hidden="1" x14ac:dyDescent="0.45">
      <c r="A258" s="77" t="s">
        <v>594</v>
      </c>
      <c r="B258" s="80"/>
      <c r="C258" s="74">
        <v>526843.35966559546</v>
      </c>
      <c r="D258" s="74">
        <v>177058.78231560366</v>
      </c>
      <c r="E258" s="74">
        <v>110346.61034220751</v>
      </c>
      <c r="F258" s="74">
        <v>50097.031144192501</v>
      </c>
      <c r="G258" s="74">
        <v>48300.216532400285</v>
      </c>
      <c r="H258" s="74">
        <v>912645.99999999907</v>
      </c>
    </row>
    <row r="259" spans="1:8" hidden="1" x14ac:dyDescent="0.45">
      <c r="A259" s="77" t="s">
        <v>595</v>
      </c>
      <c r="B259" s="80"/>
      <c r="C259" s="74">
        <v>110438.73107132412</v>
      </c>
      <c r="D259" s="74">
        <v>139316.21455034989</v>
      </c>
      <c r="E259" s="74">
        <v>245410.30554948424</v>
      </c>
      <c r="F259" s="74">
        <v>319544.30718781851</v>
      </c>
      <c r="G259" s="74">
        <v>287521.44164102356</v>
      </c>
      <c r="H259" s="74">
        <v>1102231.0000000049</v>
      </c>
    </row>
    <row r="260" spans="1:8" hidden="1" x14ac:dyDescent="0.45">
      <c r="A260" s="77" t="s">
        <v>596</v>
      </c>
      <c r="B260" s="80"/>
      <c r="C260" s="74">
        <v>43134.399505591085</v>
      </c>
      <c r="D260" s="74">
        <v>68088.333122808006</v>
      </c>
      <c r="E260" s="74">
        <v>74179.261307712179</v>
      </c>
      <c r="F260" s="74">
        <v>60600.924395348877</v>
      </c>
      <c r="G260" s="74">
        <v>48127.081668539642</v>
      </c>
      <c r="H260" s="74">
        <v>294129.99999999919</v>
      </c>
    </row>
    <row r="261" spans="1:8" hidden="1" x14ac:dyDescent="0.45">
      <c r="A261" s="77" t="s">
        <v>597</v>
      </c>
      <c r="B261" s="80"/>
      <c r="C261" s="74">
        <v>27449.970956645491</v>
      </c>
      <c r="D261" s="74">
        <v>36381.979073657574</v>
      </c>
      <c r="E261" s="74">
        <v>25808.588742557069</v>
      </c>
      <c r="F261" s="74">
        <v>27810.725066563748</v>
      </c>
      <c r="G261" s="74">
        <v>27917.736160576023</v>
      </c>
      <c r="H261" s="74">
        <v>145369.00000000012</v>
      </c>
    </row>
    <row r="262" spans="1:8" hidden="1" x14ac:dyDescent="0.45">
      <c r="A262" s="77" t="s">
        <v>598</v>
      </c>
      <c r="B262" s="80"/>
      <c r="C262" s="74">
        <v>93851.832983598637</v>
      </c>
      <c r="D262" s="74">
        <v>185747.94634382281</v>
      </c>
      <c r="E262" s="74">
        <v>173049.41859071344</v>
      </c>
      <c r="F262" s="74">
        <v>184166.06158366436</v>
      </c>
      <c r="G262" s="74">
        <v>250528.74049820114</v>
      </c>
      <c r="H262" s="74">
        <v>887344.0000000014</v>
      </c>
    </row>
    <row r="263" spans="1:8" hidden="1" x14ac:dyDescent="0.45">
      <c r="A263" s="77" t="s">
        <v>599</v>
      </c>
      <c r="B263" s="80"/>
      <c r="C263" s="74">
        <v>36971.534413885187</v>
      </c>
      <c r="D263" s="74">
        <v>67554.066784553957</v>
      </c>
      <c r="E263" s="74">
        <v>59599.633199273689</v>
      </c>
      <c r="F263" s="74">
        <v>46628.036280992274</v>
      </c>
      <c r="G263" s="74">
        <v>34014.729321295068</v>
      </c>
      <c r="H263" s="74">
        <v>244767.99999999884</v>
      </c>
    </row>
    <row r="264" spans="1:8" hidden="1" x14ac:dyDescent="0.45">
      <c r="A264" s="77" t="s">
        <v>600</v>
      </c>
      <c r="B264" s="80"/>
      <c r="C264" s="74">
        <v>37669.28559647873</v>
      </c>
      <c r="D264" s="74">
        <v>53773.331327784974</v>
      </c>
      <c r="E264" s="74">
        <v>40155.307003118709</v>
      </c>
      <c r="F264" s="74">
        <v>37674.861519857594</v>
      </c>
      <c r="G264" s="74">
        <v>36168.214552760008</v>
      </c>
      <c r="H264" s="74">
        <v>205440.99999999951</v>
      </c>
    </row>
    <row r="265" spans="1:8" hidden="1" x14ac:dyDescent="0.45">
      <c r="A265" s="77" t="s">
        <v>601</v>
      </c>
      <c r="B265" s="80"/>
      <c r="C265" s="74">
        <v>18823.688440998267</v>
      </c>
      <c r="D265" s="74">
        <v>29546.607532140068</v>
      </c>
      <c r="E265" s="74">
        <v>27842.703675487573</v>
      </c>
      <c r="F265" s="74">
        <v>30638.014089459517</v>
      </c>
      <c r="G265" s="74">
        <v>25792.986261914528</v>
      </c>
      <c r="H265" s="74">
        <v>132643.99999999971</v>
      </c>
    </row>
    <row r="266" spans="1:8" hidden="1" x14ac:dyDescent="0.45">
      <c r="A266" s="77" t="s">
        <v>602</v>
      </c>
      <c r="B266" s="80"/>
      <c r="C266" s="74">
        <v>20504.772794576154</v>
      </c>
      <c r="D266" s="74">
        <v>35373.028719932605</v>
      </c>
      <c r="E266" s="74">
        <v>38275.218875026636</v>
      </c>
      <c r="F266" s="74">
        <v>29668.348570906484</v>
      </c>
      <c r="G266" s="74">
        <v>54747.631039558015</v>
      </c>
      <c r="H266" s="74">
        <v>178569.00000000003</v>
      </c>
    </row>
    <row r="267" spans="1:8" hidden="1" x14ac:dyDescent="0.45">
      <c r="A267" s="77" t="s">
        <v>603</v>
      </c>
      <c r="B267" s="80"/>
      <c r="C267" s="74">
        <v>166703.35099014093</v>
      </c>
      <c r="D267" s="74">
        <v>411580.92869066691</v>
      </c>
      <c r="E267" s="74">
        <v>564819.89154340851</v>
      </c>
      <c r="F267" s="74">
        <v>716186.49638807855</v>
      </c>
      <c r="G267" s="74">
        <v>1075352.3323877032</v>
      </c>
      <c r="H267" s="74">
        <v>2934642.9999999944</v>
      </c>
    </row>
    <row r="268" spans="1:8" hidden="1" x14ac:dyDescent="0.45">
      <c r="A268" s="77" t="s">
        <v>604</v>
      </c>
      <c r="B268" s="80"/>
      <c r="C268" s="74">
        <v>21885.752843678551</v>
      </c>
      <c r="D268" s="74">
        <v>42239.518742551831</v>
      </c>
      <c r="E268" s="74">
        <v>59260.395634616318</v>
      </c>
      <c r="F268" s="74">
        <v>55556.173239016993</v>
      </c>
      <c r="G268" s="74">
        <v>35161.159540136272</v>
      </c>
      <c r="H268" s="74">
        <v>214103.00000000049</v>
      </c>
    </row>
    <row r="269" spans="1:8" hidden="1" x14ac:dyDescent="0.45">
      <c r="A269" s="77" t="s">
        <v>605</v>
      </c>
      <c r="B269" s="80"/>
      <c r="C269" s="74">
        <v>420871.0622015486</v>
      </c>
      <c r="D269" s="74">
        <v>423412.70197552274</v>
      </c>
      <c r="E269" s="74">
        <v>239538.97893575591</v>
      </c>
      <c r="F269" s="74">
        <v>109382.78878204951</v>
      </c>
      <c r="G269" s="74">
        <v>39430.468105122382</v>
      </c>
      <c r="H269" s="74">
        <v>1232636.0000000049</v>
      </c>
    </row>
    <row r="270" spans="1:8" hidden="1" x14ac:dyDescent="0.45">
      <c r="A270" s="77" t="s">
        <v>606</v>
      </c>
      <c r="B270" s="80"/>
      <c r="C270" s="74">
        <v>326667.81873410626</v>
      </c>
      <c r="D270" s="74">
        <v>407863.08548114431</v>
      </c>
      <c r="E270" s="74">
        <v>292214.57954739593</v>
      </c>
      <c r="F270" s="74">
        <v>189962.10969685711</v>
      </c>
      <c r="G270" s="74">
        <v>102690.40654049681</v>
      </c>
      <c r="H270" s="74">
        <v>1319398.0000000014</v>
      </c>
    </row>
    <row r="271" spans="1:8" x14ac:dyDescent="0.45">
      <c r="A271" s="77" t="s">
        <v>607</v>
      </c>
      <c r="B271" s="80" t="s">
        <v>87</v>
      </c>
      <c r="C271" s="74">
        <v>379233.6938739568</v>
      </c>
      <c r="D271" s="74">
        <v>776630.86774186743</v>
      </c>
      <c r="E271" s="74">
        <v>1034297.8386857408</v>
      </c>
      <c r="F271" s="74">
        <v>1103400.3162562714</v>
      </c>
      <c r="G271" s="74">
        <v>692394.28344216046</v>
      </c>
      <c r="H271" s="74">
        <v>3985956.9999999744</v>
      </c>
    </row>
    <row r="272" spans="1:8" hidden="1" x14ac:dyDescent="0.45">
      <c r="A272" s="77" t="s">
        <v>608</v>
      </c>
      <c r="B272" s="80"/>
      <c r="C272" s="74">
        <v>219444.23659765167</v>
      </c>
      <c r="D272" s="74">
        <v>433631.2068085153</v>
      </c>
      <c r="E272" s="74">
        <v>384302.96556178934</v>
      </c>
      <c r="F272" s="74">
        <v>318561.19469767559</v>
      </c>
      <c r="G272" s="74">
        <v>167829.39633436871</v>
      </c>
      <c r="H272" s="74">
        <v>1523768.9999999991</v>
      </c>
    </row>
    <row r="273" spans="1:8" x14ac:dyDescent="0.45">
      <c r="A273" s="77" t="s">
        <v>609</v>
      </c>
      <c r="B273" s="80" t="s">
        <v>89</v>
      </c>
      <c r="C273" s="74">
        <v>27988.43023851185</v>
      </c>
      <c r="D273" s="74">
        <v>159677.75291874923</v>
      </c>
      <c r="E273" s="74">
        <v>372109.7888713163</v>
      </c>
      <c r="F273" s="74">
        <v>617373.78268614446</v>
      </c>
      <c r="G273" s="74">
        <v>1159991.2452852789</v>
      </c>
      <c r="H273" s="74">
        <v>2337141.000000007</v>
      </c>
    </row>
    <row r="274" spans="1:8" hidden="1" x14ac:dyDescent="0.45">
      <c r="A274" s="77" t="s">
        <v>610</v>
      </c>
      <c r="B274" s="80"/>
      <c r="C274" s="74">
        <v>30081.104280584281</v>
      </c>
      <c r="D274" s="74">
        <v>60635.551944880157</v>
      </c>
      <c r="E274" s="74">
        <v>119334.33498523119</v>
      </c>
      <c r="F274" s="74">
        <v>127345.67435495117</v>
      </c>
      <c r="G274" s="74">
        <v>119503.33443435296</v>
      </c>
      <c r="H274" s="74">
        <v>456899.99999999994</v>
      </c>
    </row>
    <row r="275" spans="1:8" hidden="1" x14ac:dyDescent="0.45">
      <c r="A275" s="77" t="s">
        <v>611</v>
      </c>
      <c r="B275" s="80"/>
      <c r="C275" s="74">
        <v>90704.519067301997</v>
      </c>
      <c r="D275" s="74">
        <v>184740.66723686038</v>
      </c>
      <c r="E275" s="74">
        <v>189301.53496839295</v>
      </c>
      <c r="F275" s="74">
        <v>155857.02005257836</v>
      </c>
      <c r="G275" s="74">
        <v>105408.25867486588</v>
      </c>
      <c r="H275" s="74">
        <v>726011.9999999993</v>
      </c>
    </row>
    <row r="276" spans="1:8" x14ac:dyDescent="0.45">
      <c r="A276" s="77" t="s">
        <v>612</v>
      </c>
      <c r="B276" s="80" t="s">
        <v>91</v>
      </c>
      <c r="C276" s="74">
        <v>45638.246786557589</v>
      </c>
      <c r="D276" s="74">
        <v>180335.6294253706</v>
      </c>
      <c r="E276" s="74">
        <v>392352.64970945305</v>
      </c>
      <c r="F276" s="74">
        <v>481095.16712395241</v>
      </c>
      <c r="G276" s="74">
        <v>701756.30695466616</v>
      </c>
      <c r="H276" s="74">
        <v>1801177.9999999912</v>
      </c>
    </row>
    <row r="277" spans="1:8" hidden="1" x14ac:dyDescent="0.45">
      <c r="A277" s="77" t="s">
        <v>613</v>
      </c>
      <c r="B277" s="80"/>
      <c r="C277" s="74">
        <v>70204.015760907627</v>
      </c>
      <c r="D277" s="74">
        <v>101108.64001494466</v>
      </c>
      <c r="E277" s="74">
        <v>48084.517595305333</v>
      </c>
      <c r="F277" s="74">
        <v>38806.118375833088</v>
      </c>
      <c r="G277" s="74">
        <v>26538.708253009092</v>
      </c>
      <c r="H277" s="74">
        <v>284742</v>
      </c>
    </row>
    <row r="278" spans="1:8" hidden="1" x14ac:dyDescent="0.45">
      <c r="A278" s="77" t="s">
        <v>614</v>
      </c>
      <c r="B278" s="80"/>
      <c r="C278" s="74">
        <v>53352.480124997302</v>
      </c>
      <c r="D278" s="74">
        <v>92098.101924029295</v>
      </c>
      <c r="E278" s="74">
        <v>101788.85128170215</v>
      </c>
      <c r="F278" s="74">
        <v>119311.50256252478</v>
      </c>
      <c r="G278" s="74">
        <v>89055.064106746446</v>
      </c>
      <c r="H278" s="74">
        <v>455605.99999999854</v>
      </c>
    </row>
    <row r="279" spans="1:8" hidden="1" x14ac:dyDescent="0.45">
      <c r="A279" s="77" t="s">
        <v>615</v>
      </c>
      <c r="B279" s="80"/>
      <c r="C279" s="74">
        <v>2939.6199140257118</v>
      </c>
      <c r="D279" s="74">
        <v>50287.065833404493</v>
      </c>
      <c r="E279" s="74">
        <v>108641.44603433917</v>
      </c>
      <c r="F279" s="74">
        <v>273386.38701269153</v>
      </c>
      <c r="G279" s="74">
        <v>305276.48120553797</v>
      </c>
      <c r="H279" s="74">
        <v>740531.00000000268</v>
      </c>
    </row>
    <row r="280" spans="1:8" hidden="1" x14ac:dyDescent="0.45">
      <c r="A280" s="77" t="s">
        <v>616</v>
      </c>
      <c r="B280" s="80"/>
      <c r="C280" s="74">
        <v>18506.547410231557</v>
      </c>
      <c r="D280" s="74">
        <v>82837.694292293119</v>
      </c>
      <c r="E280" s="74">
        <v>125253.59529648772</v>
      </c>
      <c r="F280" s="74">
        <v>143294.8474030662</v>
      </c>
      <c r="G280" s="74">
        <v>161499.31559792126</v>
      </c>
      <c r="H280" s="74">
        <v>531392.00000000081</v>
      </c>
    </row>
    <row r="281" spans="1:8" hidden="1" x14ac:dyDescent="0.45">
      <c r="A281" s="77" t="s">
        <v>617</v>
      </c>
      <c r="B281" s="80"/>
      <c r="C281" s="74">
        <v>40175.179738326879</v>
      </c>
      <c r="D281" s="74">
        <v>47805.076218071226</v>
      </c>
      <c r="E281" s="74">
        <v>29876.052530410849</v>
      </c>
      <c r="F281" s="74">
        <v>39085.741696006466</v>
      </c>
      <c r="G281" s="74">
        <v>25021.949817184464</v>
      </c>
      <c r="H281" s="74">
        <v>181963.99999999916</v>
      </c>
    </row>
    <row r="282" spans="1:8" hidden="1" x14ac:dyDescent="0.45">
      <c r="A282" s="77" t="s">
        <v>618</v>
      </c>
      <c r="B282" s="80"/>
      <c r="C282" s="74">
        <v>22845.529662203378</v>
      </c>
      <c r="D282" s="74">
        <v>54788.784783043462</v>
      </c>
      <c r="E282" s="74">
        <v>66087.376420263812</v>
      </c>
      <c r="F282" s="74">
        <v>60216.31216640654</v>
      </c>
      <c r="G282" s="74">
        <v>27897.996968082884</v>
      </c>
      <c r="H282" s="74">
        <v>231836.00000000035</v>
      </c>
    </row>
    <row r="283" spans="1:8" hidden="1" x14ac:dyDescent="0.45">
      <c r="A283" s="77" t="s">
        <v>619</v>
      </c>
      <c r="B283" s="80"/>
      <c r="C283" s="74">
        <v>194476.76077811001</v>
      </c>
      <c r="D283" s="74">
        <v>96254.416088411803</v>
      </c>
      <c r="E283" s="74">
        <v>63293.341551082071</v>
      </c>
      <c r="F283" s="74">
        <v>44776.91087363218</v>
      </c>
      <c r="G283" s="74">
        <v>25057.570708764229</v>
      </c>
      <c r="H283" s="74">
        <v>423859.00000000134</v>
      </c>
    </row>
    <row r="284" spans="1:8" hidden="1" x14ac:dyDescent="0.45">
      <c r="A284" s="77" t="s">
        <v>620</v>
      </c>
      <c r="B284" s="80"/>
      <c r="C284" s="74">
        <v>184371.97010729215</v>
      </c>
      <c r="D284" s="74">
        <v>218317.319046096</v>
      </c>
      <c r="E284" s="74">
        <v>144003.45631323813</v>
      </c>
      <c r="F284" s="74">
        <v>79575.124567257721</v>
      </c>
      <c r="G284" s="74">
        <v>48663.129966116401</v>
      </c>
      <c r="H284" s="74">
        <v>674931.00000000047</v>
      </c>
    </row>
    <row r="285" spans="1:8" hidden="1" x14ac:dyDescent="0.45">
      <c r="A285" s="77" t="s">
        <v>621</v>
      </c>
      <c r="B285" s="80"/>
      <c r="C285" s="74">
        <v>20571.574029272109</v>
      </c>
      <c r="D285" s="74">
        <v>89865.215190120973</v>
      </c>
      <c r="E285" s="74">
        <v>164099.64173276478</v>
      </c>
      <c r="F285" s="74">
        <v>357256.92296998954</v>
      </c>
      <c r="G285" s="74">
        <v>400979.64607785596</v>
      </c>
      <c r="H285" s="74">
        <v>1032772.9999999874</v>
      </c>
    </row>
    <row r="286" spans="1:8" hidden="1" x14ac:dyDescent="0.45">
      <c r="A286" s="77" t="s">
        <v>622</v>
      </c>
      <c r="B286" s="80"/>
      <c r="C286" s="74">
        <v>289687.3434035742</v>
      </c>
      <c r="D286" s="74">
        <v>173845.07563355329</v>
      </c>
      <c r="E286" s="74">
        <v>115191.08518468775</v>
      </c>
      <c r="F286" s="74">
        <v>91974.263778390959</v>
      </c>
      <c r="G286" s="74">
        <v>80931.231999793774</v>
      </c>
      <c r="H286" s="74">
        <v>751628.99999999895</v>
      </c>
    </row>
    <row r="287" spans="1:8" hidden="1" x14ac:dyDescent="0.45">
      <c r="A287" s="77" t="s">
        <v>623</v>
      </c>
      <c r="B287" s="80"/>
      <c r="C287" s="74">
        <v>406441.18666390894</v>
      </c>
      <c r="D287" s="74">
        <v>223368.02325361426</v>
      </c>
      <c r="E287" s="74">
        <v>142169.99464463216</v>
      </c>
      <c r="F287" s="74">
        <v>128489.47116964769</v>
      </c>
      <c r="G287" s="74">
        <v>102831.32426819582</v>
      </c>
      <c r="H287" s="74">
        <v>1003299.9999999969</v>
      </c>
    </row>
    <row r="288" spans="1:8" hidden="1" x14ac:dyDescent="0.45">
      <c r="A288" s="77" t="s">
        <v>624</v>
      </c>
      <c r="B288" s="80"/>
      <c r="C288" s="74">
        <v>285427.67098707455</v>
      </c>
      <c r="D288" s="74">
        <v>336417.73988530948</v>
      </c>
      <c r="E288" s="74">
        <v>229728.36436552714</v>
      </c>
      <c r="F288" s="74">
        <v>265394.28475376347</v>
      </c>
      <c r="G288" s="74">
        <v>147233.94000832515</v>
      </c>
      <c r="H288" s="74">
        <v>1264202.0000000005</v>
      </c>
    </row>
    <row r="289" spans="1:8" hidden="1" x14ac:dyDescent="0.45">
      <c r="A289" s="77" t="s">
        <v>625</v>
      </c>
      <c r="B289" s="80"/>
      <c r="C289" s="74">
        <v>168728.15621655146</v>
      </c>
      <c r="D289" s="74">
        <v>68895.118857216759</v>
      </c>
      <c r="E289" s="74">
        <v>60651.488902283898</v>
      </c>
      <c r="F289" s="74">
        <v>73581.481247283577</v>
      </c>
      <c r="G289" s="74">
        <v>112836.75477666417</v>
      </c>
      <c r="H289" s="74">
        <v>484693.00000000175</v>
      </c>
    </row>
    <row r="290" spans="1:8" hidden="1" x14ac:dyDescent="0.45">
      <c r="A290" s="77" t="s">
        <v>626</v>
      </c>
      <c r="B290" s="80"/>
      <c r="C290" s="74">
        <v>134504.10145443954</v>
      </c>
      <c r="D290" s="74">
        <v>51089.971038051495</v>
      </c>
      <c r="E290" s="74">
        <v>38230.180540847243</v>
      </c>
      <c r="F290" s="74">
        <v>30120.159400382858</v>
      </c>
      <c r="G290" s="74">
        <v>18516.587566278806</v>
      </c>
      <c r="H290" s="74">
        <v>272461.00000000099</v>
      </c>
    </row>
    <row r="291" spans="1:8" hidden="1" x14ac:dyDescent="0.45">
      <c r="A291" s="77" t="s">
        <v>627</v>
      </c>
      <c r="B291" s="80"/>
      <c r="C291" s="74">
        <v>252808.33811245579</v>
      </c>
      <c r="D291" s="74">
        <v>107395.3247469873</v>
      </c>
      <c r="E291" s="74">
        <v>58341.282195757769</v>
      </c>
      <c r="F291" s="74">
        <v>59192.832091122742</v>
      </c>
      <c r="G291" s="74">
        <v>41749.222853676067</v>
      </c>
      <c r="H291" s="74">
        <v>519487.00000000099</v>
      </c>
    </row>
    <row r="292" spans="1:8" hidden="1" x14ac:dyDescent="0.45">
      <c r="A292" s="77" t="s">
        <v>628</v>
      </c>
      <c r="B292" s="80"/>
      <c r="C292" s="74">
        <v>32614.885191478825</v>
      </c>
      <c r="D292" s="74">
        <v>38369.542331255885</v>
      </c>
      <c r="E292" s="74">
        <v>24351.138659094231</v>
      </c>
      <c r="F292" s="74">
        <v>37489.716324597124</v>
      </c>
      <c r="G292" s="74">
        <v>35252.717493573975</v>
      </c>
      <c r="H292" s="74">
        <v>168078.00000000009</v>
      </c>
    </row>
    <row r="293" spans="1:8" hidden="1" x14ac:dyDescent="0.45">
      <c r="A293" s="77" t="s">
        <v>629</v>
      </c>
      <c r="B293" s="80"/>
      <c r="C293" s="74">
        <v>67930.263457468303</v>
      </c>
      <c r="D293" s="74">
        <v>73071.212150419917</v>
      </c>
      <c r="E293" s="74">
        <v>44684.063878639339</v>
      </c>
      <c r="F293" s="74">
        <v>28998.65217514864</v>
      </c>
      <c r="G293" s="74">
        <v>18399.808338323743</v>
      </c>
      <c r="H293" s="74">
        <v>233083.99999999951</v>
      </c>
    </row>
    <row r="294" spans="1:8" hidden="1" x14ac:dyDescent="0.45">
      <c r="A294" s="77" t="s">
        <v>630</v>
      </c>
      <c r="B294" s="80"/>
      <c r="C294" s="74">
        <v>95529.410858603791</v>
      </c>
      <c r="D294" s="74">
        <v>106944.57124271922</v>
      </c>
      <c r="E294" s="74">
        <v>74149.959070787532</v>
      </c>
      <c r="F294" s="74">
        <v>84628.194124118134</v>
      </c>
      <c r="G294" s="74">
        <v>174524.86470377119</v>
      </c>
      <c r="H294" s="74">
        <v>535776.99999999953</v>
      </c>
    </row>
    <row r="295" spans="1:8" hidden="1" x14ac:dyDescent="0.45">
      <c r="A295" s="77" t="s">
        <v>631</v>
      </c>
      <c r="B295" s="80"/>
      <c r="C295" s="74">
        <v>71341.478036858316</v>
      </c>
      <c r="D295" s="74">
        <v>31361.948047746446</v>
      </c>
      <c r="E295" s="74">
        <v>28207.704538978945</v>
      </c>
      <c r="F295" s="74">
        <v>21708.270575144754</v>
      </c>
      <c r="G295" s="74">
        <v>38160.598801271561</v>
      </c>
      <c r="H295" s="74">
        <v>190779.99999999962</v>
      </c>
    </row>
    <row r="296" spans="1:8" hidden="1" x14ac:dyDescent="0.45">
      <c r="A296" s="77" t="s">
        <v>632</v>
      </c>
      <c r="B296" s="80"/>
      <c r="C296" s="74">
        <v>68959.456423945638</v>
      </c>
      <c r="D296" s="74">
        <v>32121.686218294519</v>
      </c>
      <c r="E296" s="74">
        <v>17093.636424095363</v>
      </c>
      <c r="F296" s="74">
        <v>11178.311897937605</v>
      </c>
      <c r="G296" s="74">
        <v>7363.9090357269934</v>
      </c>
      <c r="H296" s="74">
        <v>136716.99999999953</v>
      </c>
    </row>
    <row r="297" spans="1:8" hidden="1" x14ac:dyDescent="0.45">
      <c r="A297" s="77" t="s">
        <v>633</v>
      </c>
      <c r="B297" s="80"/>
      <c r="C297" s="74">
        <v>90112.279506250416</v>
      </c>
      <c r="D297" s="74">
        <v>53342.515419596653</v>
      </c>
      <c r="E297" s="74">
        <v>52307.723377552145</v>
      </c>
      <c r="F297" s="74">
        <v>45804.942895158514</v>
      </c>
      <c r="G297" s="74">
        <v>27883.538801442352</v>
      </c>
      <c r="H297" s="74">
        <v>269451.00000000076</v>
      </c>
    </row>
    <row r="298" spans="1:8" hidden="1" x14ac:dyDescent="0.45">
      <c r="A298" s="77" t="s">
        <v>634</v>
      </c>
      <c r="B298" s="80"/>
      <c r="C298" s="74">
        <v>240722.6374301739</v>
      </c>
      <c r="D298" s="74">
        <v>81153.473367959843</v>
      </c>
      <c r="E298" s="74">
        <v>33861.580545423334</v>
      </c>
      <c r="F298" s="74">
        <v>41195.316189352954</v>
      </c>
      <c r="G298" s="74">
        <v>17267.992467090535</v>
      </c>
      <c r="H298" s="74">
        <v>414201.00000000058</v>
      </c>
    </row>
    <row r="299" spans="1:8" hidden="1" x14ac:dyDescent="0.45">
      <c r="A299" s="77" t="s">
        <v>635</v>
      </c>
      <c r="B299" s="80"/>
      <c r="C299" s="74">
        <v>203351.51668026845</v>
      </c>
      <c r="D299" s="74">
        <v>119304.33735635468</v>
      </c>
      <c r="E299" s="74">
        <v>74465.250014675679</v>
      </c>
      <c r="F299" s="74">
        <v>66378.513522475667</v>
      </c>
      <c r="G299" s="74">
        <v>11104.382426225266</v>
      </c>
      <c r="H299" s="74">
        <v>474603.99999999895</v>
      </c>
    </row>
    <row r="300" spans="1:8" hidden="1" x14ac:dyDescent="0.45">
      <c r="A300" s="77" t="s">
        <v>636</v>
      </c>
      <c r="B300" s="80"/>
      <c r="C300" s="74">
        <v>158711.39935531947</v>
      </c>
      <c r="D300" s="74">
        <v>50939.300183703584</v>
      </c>
      <c r="E300" s="74">
        <v>17762.712074770952</v>
      </c>
      <c r="F300" s="74">
        <v>19921.165153269132</v>
      </c>
      <c r="G300" s="74">
        <v>14376.423232936873</v>
      </c>
      <c r="H300" s="74">
        <v>261711.00000000026</v>
      </c>
    </row>
    <row r="301" spans="1:8" hidden="1" x14ac:dyDescent="0.45">
      <c r="A301" s="77" t="s">
        <v>637</v>
      </c>
      <c r="B301" s="80"/>
      <c r="C301" s="74">
        <v>116467.23495392942</v>
      </c>
      <c r="D301" s="74">
        <v>54634.732780178711</v>
      </c>
      <c r="E301" s="74">
        <v>32209.907754845295</v>
      </c>
      <c r="F301" s="74">
        <v>17952.772092085412</v>
      </c>
      <c r="G301" s="74">
        <v>10765.352418961422</v>
      </c>
      <c r="H301" s="74">
        <v>232030.00000000029</v>
      </c>
    </row>
    <row r="302" spans="1:8" hidden="1" x14ac:dyDescent="0.45">
      <c r="A302" s="77" t="s">
        <v>638</v>
      </c>
      <c r="B302" s="80"/>
      <c r="C302" s="74">
        <v>108472.93679647941</v>
      </c>
      <c r="D302" s="74">
        <v>51473.701036972299</v>
      </c>
      <c r="E302" s="74">
        <v>22373.183714416973</v>
      </c>
      <c r="F302" s="74">
        <v>21260.856858198586</v>
      </c>
      <c r="G302" s="74">
        <v>6302.3215939326938</v>
      </c>
      <c r="H302" s="74">
        <v>209883.00000000087</v>
      </c>
    </row>
    <row r="303" spans="1:8" hidden="1" x14ac:dyDescent="0.45">
      <c r="A303" s="77" t="s">
        <v>639</v>
      </c>
      <c r="B303" s="80"/>
      <c r="C303" s="74">
        <v>78337.871855257603</v>
      </c>
      <c r="D303" s="74">
        <v>32241.687796272294</v>
      </c>
      <c r="E303" s="74">
        <v>18445.828175221141</v>
      </c>
      <c r="F303" s="74">
        <v>17579.768676140422</v>
      </c>
      <c r="G303" s="74">
        <v>6510.8434971084907</v>
      </c>
      <c r="H303" s="74">
        <v>153116.00000000017</v>
      </c>
    </row>
    <row r="304" spans="1:8" hidden="1" x14ac:dyDescent="0.45">
      <c r="A304" s="77" t="s">
        <v>640</v>
      </c>
      <c r="B304" s="80"/>
      <c r="C304" s="74">
        <v>132437.81384961741</v>
      </c>
      <c r="D304" s="74">
        <v>69785.778464824747</v>
      </c>
      <c r="E304" s="74">
        <v>26579.513491367048</v>
      </c>
      <c r="F304" s="74">
        <v>25888.112097376361</v>
      </c>
      <c r="G304" s="74">
        <v>8183.7820968142805</v>
      </c>
      <c r="H304" s="74">
        <v>262874.99999999959</v>
      </c>
    </row>
    <row r="305" spans="1:8" hidden="1" x14ac:dyDescent="0.45">
      <c r="A305" s="77" t="s">
        <v>641</v>
      </c>
      <c r="B305" s="80"/>
      <c r="C305" s="74">
        <v>168728.86814240244</v>
      </c>
      <c r="D305" s="74">
        <v>70363.215988873315</v>
      </c>
      <c r="E305" s="74">
        <v>42607.763000905761</v>
      </c>
      <c r="F305" s="74">
        <v>26451.714491891969</v>
      </c>
      <c r="G305" s="74">
        <v>16867.438375926307</v>
      </c>
      <c r="H305" s="74">
        <v>325019.00000000017</v>
      </c>
    </row>
    <row r="306" spans="1:8" hidden="1" x14ac:dyDescent="0.45">
      <c r="A306" s="77" t="s">
        <v>642</v>
      </c>
      <c r="B306" s="80"/>
      <c r="C306" s="74">
        <v>77889.434727753382</v>
      </c>
      <c r="D306" s="74">
        <v>71915.784900611863</v>
      </c>
      <c r="E306" s="74">
        <v>58976.680654282529</v>
      </c>
      <c r="F306" s="74">
        <v>47420.959324760734</v>
      </c>
      <c r="G306" s="74">
        <v>19802.140392591507</v>
      </c>
      <c r="H306" s="74">
        <v>276004.99999999977</v>
      </c>
    </row>
    <row r="307" spans="1:8" hidden="1" x14ac:dyDescent="0.45">
      <c r="A307" s="77" t="s">
        <v>643</v>
      </c>
      <c r="B307" s="80"/>
      <c r="C307" s="74">
        <v>56340.69513767492</v>
      </c>
      <c r="D307" s="74">
        <v>42106.367326194391</v>
      </c>
      <c r="E307" s="74">
        <v>28717.444859456082</v>
      </c>
      <c r="F307" s="74">
        <v>28256.274304937164</v>
      </c>
      <c r="G307" s="74">
        <v>15219.218371737246</v>
      </c>
      <c r="H307" s="74">
        <v>170640.00000000047</v>
      </c>
    </row>
    <row r="308" spans="1:8" hidden="1" x14ac:dyDescent="0.45">
      <c r="A308" s="77" t="s">
        <v>644</v>
      </c>
      <c r="B308" s="80"/>
      <c r="C308" s="74">
        <v>132792.13386011275</v>
      </c>
      <c r="D308" s="74">
        <v>111585.49172423905</v>
      </c>
      <c r="E308" s="74">
        <v>60771.846021054902</v>
      </c>
      <c r="F308" s="74">
        <v>32265.700090559385</v>
      </c>
      <c r="G308" s="74">
        <v>18155.828304033781</v>
      </c>
      <c r="H308" s="74">
        <v>355571.00000000122</v>
      </c>
    </row>
    <row r="309" spans="1:8" hidden="1" x14ac:dyDescent="0.45">
      <c r="A309" s="77" t="s">
        <v>645</v>
      </c>
      <c r="B309" s="80"/>
      <c r="C309" s="74">
        <v>132358.0303820488</v>
      </c>
      <c r="D309" s="74">
        <v>29438.650635410977</v>
      </c>
      <c r="E309" s="74">
        <v>18766.025727455952</v>
      </c>
      <c r="F309" s="74">
        <v>12299.679241609359</v>
      </c>
      <c r="G309" s="74">
        <v>5144.614013475004</v>
      </c>
      <c r="H309" s="74">
        <v>198006.99999999837</v>
      </c>
    </row>
    <row r="310" spans="1:8" hidden="1" x14ac:dyDescent="0.45">
      <c r="A310" s="77" t="s">
        <v>646</v>
      </c>
      <c r="B310" s="80"/>
      <c r="C310" s="74">
        <v>126049.84271780358</v>
      </c>
      <c r="D310" s="74">
        <v>72530.971939934941</v>
      </c>
      <c r="E310" s="74">
        <v>42297.893845704231</v>
      </c>
      <c r="F310" s="74">
        <v>36813.971610017354</v>
      </c>
      <c r="G310" s="74">
        <v>19295.319886540168</v>
      </c>
      <c r="H310" s="74">
        <v>296987.99999999942</v>
      </c>
    </row>
    <row r="311" spans="1:8" hidden="1" x14ac:dyDescent="0.45">
      <c r="A311" s="77" t="s">
        <v>647</v>
      </c>
      <c r="B311" s="80"/>
      <c r="C311" s="74">
        <v>39131.058970491387</v>
      </c>
      <c r="D311" s="74">
        <v>15254.698247342643</v>
      </c>
      <c r="E311" s="74">
        <v>7576.2249020027384</v>
      </c>
      <c r="F311" s="74">
        <v>8339.3134799091804</v>
      </c>
      <c r="G311" s="74">
        <v>5972.7044002540097</v>
      </c>
      <c r="H311" s="74">
        <v>76273.999999999767</v>
      </c>
    </row>
    <row r="312" spans="1:8" hidden="1" x14ac:dyDescent="0.45">
      <c r="A312" s="77" t="s">
        <v>648</v>
      </c>
      <c r="B312" s="80"/>
      <c r="C312" s="74">
        <v>234198.3990835899</v>
      </c>
      <c r="D312" s="74">
        <v>55250.152775353308</v>
      </c>
      <c r="E312" s="74">
        <v>33222.379368657785</v>
      </c>
      <c r="F312" s="74">
        <v>32873.275761050558</v>
      </c>
      <c r="G312" s="74">
        <v>13393.793011349095</v>
      </c>
      <c r="H312" s="74">
        <v>368938.00000000186</v>
      </c>
    </row>
    <row r="313" spans="1:8" hidden="1" x14ac:dyDescent="0.45">
      <c r="A313" s="77" t="s">
        <v>649</v>
      </c>
      <c r="B313" s="80"/>
      <c r="C313" s="74">
        <v>91782.098980687122</v>
      </c>
      <c r="D313" s="74">
        <v>27319.776325812294</v>
      </c>
      <c r="E313" s="74">
        <v>12835.69757890099</v>
      </c>
      <c r="F313" s="74">
        <v>10887.789328084698</v>
      </c>
      <c r="G313" s="74">
        <v>7860.6377865148888</v>
      </c>
      <c r="H313" s="74">
        <v>150685.9999999998</v>
      </c>
    </row>
    <row r="314" spans="1:8" hidden="1" x14ac:dyDescent="0.45">
      <c r="A314" s="77" t="s">
        <v>650</v>
      </c>
      <c r="B314" s="80"/>
      <c r="C314" s="74">
        <v>191527.33688985786</v>
      </c>
      <c r="D314" s="74">
        <v>59285.82649423062</v>
      </c>
      <c r="E314" s="74">
        <v>22810.803238244138</v>
      </c>
      <c r="F314" s="74">
        <v>14670.580133121255</v>
      </c>
      <c r="G314" s="74">
        <v>8571.4532445458954</v>
      </c>
      <c r="H314" s="74">
        <v>296865.99999999988</v>
      </c>
    </row>
    <row r="315" spans="1:8" hidden="1" x14ac:dyDescent="0.45">
      <c r="A315" s="77" t="s">
        <v>651</v>
      </c>
      <c r="B315" s="80"/>
      <c r="C315" s="74">
        <v>49254.656795801995</v>
      </c>
      <c r="D315" s="74">
        <v>22407.173617654069</v>
      </c>
      <c r="E315" s="74">
        <v>14166.839238845887</v>
      </c>
      <c r="F315" s="74">
        <v>14393.226692241402</v>
      </c>
      <c r="G315" s="74">
        <v>7033.10365545697</v>
      </c>
      <c r="H315" s="74">
        <v>107255.00000000044</v>
      </c>
    </row>
    <row r="316" spans="1:8" hidden="1" x14ac:dyDescent="0.45">
      <c r="A316" s="77" t="s">
        <v>652</v>
      </c>
      <c r="B316" s="80"/>
      <c r="C316" s="74">
        <v>95867.456212747857</v>
      </c>
      <c r="D316" s="74">
        <v>56679.697917284793</v>
      </c>
      <c r="E316" s="74">
        <v>25292.850603464543</v>
      </c>
      <c r="F316" s="74">
        <v>14822.520477203441</v>
      </c>
      <c r="G316" s="74">
        <v>9767.4747892994601</v>
      </c>
      <c r="H316" s="74">
        <v>202429.99999999994</v>
      </c>
    </row>
    <row r="317" spans="1:8" hidden="1" x14ac:dyDescent="0.45">
      <c r="A317" s="77" t="s">
        <v>653</v>
      </c>
      <c r="B317" s="80"/>
      <c r="C317" s="74">
        <v>80436.775854492371</v>
      </c>
      <c r="D317" s="74">
        <v>118408.87821660399</v>
      </c>
      <c r="E317" s="74">
        <v>98598.698507893423</v>
      </c>
      <c r="F317" s="74">
        <v>95768.122407924297</v>
      </c>
      <c r="G317" s="74">
        <v>85147.525013085717</v>
      </c>
      <c r="H317" s="74">
        <v>478359.99999999773</v>
      </c>
    </row>
    <row r="318" spans="1:8" hidden="1" x14ac:dyDescent="0.45">
      <c r="A318" s="77" t="s">
        <v>654</v>
      </c>
      <c r="B318" s="80"/>
      <c r="C318" s="74">
        <v>116424.33664393245</v>
      </c>
      <c r="D318" s="74">
        <v>172186.38537569626</v>
      </c>
      <c r="E318" s="74">
        <v>119071.71393427881</v>
      </c>
      <c r="F318" s="74">
        <v>107819.63429884733</v>
      </c>
      <c r="G318" s="74">
        <v>31291.92974724502</v>
      </c>
      <c r="H318" s="74">
        <v>546793.99999999965</v>
      </c>
    </row>
    <row r="319" spans="1:8" hidden="1" x14ac:dyDescent="0.45">
      <c r="A319" s="77" t="s">
        <v>655</v>
      </c>
      <c r="B319" s="80"/>
      <c r="C319" s="74">
        <v>44839.176349407237</v>
      </c>
      <c r="D319" s="74">
        <v>82758.463793374016</v>
      </c>
      <c r="E319" s="74">
        <v>62711.136608273497</v>
      </c>
      <c r="F319" s="74">
        <v>44782.811573203217</v>
      </c>
      <c r="G319" s="74">
        <v>33676.411675742187</v>
      </c>
      <c r="H319" s="74">
        <v>268767.99999999988</v>
      </c>
    </row>
    <row r="320" spans="1:8" hidden="1" x14ac:dyDescent="0.45">
      <c r="A320" s="77" t="s">
        <v>656</v>
      </c>
      <c r="B320" s="80"/>
      <c r="C320" s="74">
        <v>46685.198575855764</v>
      </c>
      <c r="D320" s="74">
        <v>120249.22618667824</v>
      </c>
      <c r="E320" s="74">
        <v>98127.533381848116</v>
      </c>
      <c r="F320" s="74">
        <v>83278.329411329993</v>
      </c>
      <c r="G320" s="74">
        <v>41823.712444288067</v>
      </c>
      <c r="H320" s="74">
        <v>390163.99999999837</v>
      </c>
    </row>
    <row r="321" spans="1:8" hidden="1" x14ac:dyDescent="0.45">
      <c r="A321" s="77" t="s">
        <v>657</v>
      </c>
      <c r="B321" s="80"/>
      <c r="C321" s="74">
        <v>92875.603311379731</v>
      </c>
      <c r="D321" s="74">
        <v>62302.807478325187</v>
      </c>
      <c r="E321" s="74">
        <v>47719.892303438108</v>
      </c>
      <c r="F321" s="74">
        <v>50573.129072399337</v>
      </c>
      <c r="G321" s="74">
        <v>17885.567834457579</v>
      </c>
      <c r="H321" s="74">
        <v>271356.99999999977</v>
      </c>
    </row>
    <row r="322" spans="1:8" hidden="1" x14ac:dyDescent="0.45">
      <c r="A322" s="77" t="s">
        <v>658</v>
      </c>
      <c r="B322" s="80"/>
      <c r="C322" s="74">
        <v>134306.81707611951</v>
      </c>
      <c r="D322" s="74">
        <v>124585.02919196048</v>
      </c>
      <c r="E322" s="74">
        <v>99977.19395302255</v>
      </c>
      <c r="F322" s="74">
        <v>84059.841055831377</v>
      </c>
      <c r="G322" s="74">
        <v>44819.118723065803</v>
      </c>
      <c r="H322" s="74">
        <v>487747.99999999924</v>
      </c>
    </row>
    <row r="323" spans="1:8" hidden="1" x14ac:dyDescent="0.45">
      <c r="A323" s="77" t="s">
        <v>659</v>
      </c>
      <c r="B323" s="80"/>
      <c r="C323" s="74">
        <v>62447.897419422145</v>
      </c>
      <c r="D323" s="74">
        <v>144298.76326128969</v>
      </c>
      <c r="E323" s="74">
        <v>132823.59062324662</v>
      </c>
      <c r="F323" s="74">
        <v>128140.12400880131</v>
      </c>
      <c r="G323" s="74">
        <v>72179.624687240517</v>
      </c>
      <c r="H323" s="74">
        <v>539889.99999999953</v>
      </c>
    </row>
    <row r="324" spans="1:8" hidden="1" x14ac:dyDescent="0.45">
      <c r="A324" s="77" t="s">
        <v>660</v>
      </c>
      <c r="B324" s="80"/>
      <c r="C324" s="74">
        <v>60690.598371871347</v>
      </c>
      <c r="D324" s="74">
        <v>122557.80487579481</v>
      </c>
      <c r="E324" s="74">
        <v>104067.16440607075</v>
      </c>
      <c r="F324" s="74">
        <v>78705.068634065261</v>
      </c>
      <c r="G324" s="74">
        <v>67604.363712198101</v>
      </c>
      <c r="H324" s="74">
        <v>433625.0000000014</v>
      </c>
    </row>
    <row r="325" spans="1:8" hidden="1" x14ac:dyDescent="0.45">
      <c r="A325" s="77" t="s">
        <v>661</v>
      </c>
      <c r="B325" s="80"/>
      <c r="C325" s="74">
        <v>48233.736217125675</v>
      </c>
      <c r="D325" s="74">
        <v>70731.550749995717</v>
      </c>
      <c r="E325" s="74">
        <v>57041.326636846439</v>
      </c>
      <c r="F325" s="74">
        <v>63161.764800942983</v>
      </c>
      <c r="G325" s="74">
        <v>37562.621595089222</v>
      </c>
      <c r="H325" s="74">
        <v>276731.00000000081</v>
      </c>
    </row>
    <row r="326" spans="1:8" hidden="1" x14ac:dyDescent="0.45">
      <c r="A326" s="77" t="s">
        <v>662</v>
      </c>
      <c r="B326" s="80"/>
      <c r="C326" s="74">
        <v>54929.903545674511</v>
      </c>
      <c r="D326" s="74">
        <v>55602.484635575434</v>
      </c>
      <c r="E326" s="74">
        <v>39619.070682535363</v>
      </c>
      <c r="F326" s="74">
        <v>39876.337650366921</v>
      </c>
      <c r="G326" s="74">
        <v>15042.203485847624</v>
      </c>
      <c r="H326" s="74">
        <v>205070.00000000044</v>
      </c>
    </row>
    <row r="327" spans="1:8" hidden="1" x14ac:dyDescent="0.45">
      <c r="A327" s="77" t="s">
        <v>663</v>
      </c>
      <c r="B327" s="80"/>
      <c r="C327" s="74">
        <v>54634.95884711406</v>
      </c>
      <c r="D327" s="74">
        <v>55392.71028935707</v>
      </c>
      <c r="E327" s="74">
        <v>35699.824089841284</v>
      </c>
      <c r="F327" s="74">
        <v>45346.934753469504</v>
      </c>
      <c r="G327" s="74">
        <v>26341.572020218038</v>
      </c>
      <c r="H327" s="74">
        <v>217415.9999999998</v>
      </c>
    </row>
    <row r="328" spans="1:8" hidden="1" x14ac:dyDescent="0.45">
      <c r="A328" s="77" t="s">
        <v>664</v>
      </c>
      <c r="B328" s="80"/>
      <c r="C328" s="74">
        <v>19721.537592172976</v>
      </c>
      <c r="D328" s="74">
        <v>26144.143341554642</v>
      </c>
      <c r="E328" s="74">
        <v>26530.825993552928</v>
      </c>
      <c r="F328" s="74">
        <v>29295.370759576253</v>
      </c>
      <c r="G328" s="74">
        <v>16301.122313143218</v>
      </c>
      <c r="H328" s="74">
        <v>117993.00000000007</v>
      </c>
    </row>
    <row r="329" spans="1:8" hidden="1" x14ac:dyDescent="0.45">
      <c r="A329" s="77" t="s">
        <v>665</v>
      </c>
      <c r="B329" s="80"/>
      <c r="C329" s="74">
        <v>190186.77072715841</v>
      </c>
      <c r="D329" s="74">
        <v>199512.37619909275</v>
      </c>
      <c r="E329" s="74">
        <v>110777.68265089154</v>
      </c>
      <c r="F329" s="74">
        <v>63445.20692274483</v>
      </c>
      <c r="G329" s="74">
        <v>35084.963500112361</v>
      </c>
      <c r="H329" s="74">
        <v>599007.00000000105</v>
      </c>
    </row>
    <row r="330" spans="1:8" hidden="1" x14ac:dyDescent="0.45">
      <c r="A330" s="77" t="s">
        <v>666</v>
      </c>
      <c r="B330" s="80"/>
      <c r="C330" s="74">
        <v>30624.467606629743</v>
      </c>
      <c r="D330" s="74">
        <v>123444.48844335541</v>
      </c>
      <c r="E330" s="74">
        <v>159613.30236534739</v>
      </c>
      <c r="F330" s="74">
        <v>187608.68920677659</v>
      </c>
      <c r="G330" s="74">
        <v>171290.05237789077</v>
      </c>
      <c r="H330" s="74">
        <v>672581.00000000128</v>
      </c>
    </row>
    <row r="331" spans="1:8" hidden="1" x14ac:dyDescent="0.45">
      <c r="A331" s="77" t="s">
        <v>667</v>
      </c>
      <c r="B331" s="80"/>
      <c r="C331" s="74">
        <v>15069.683101784893</v>
      </c>
      <c r="D331" s="74">
        <v>57246.753718414744</v>
      </c>
      <c r="E331" s="74">
        <v>59341.429135752231</v>
      </c>
      <c r="F331" s="74">
        <v>68564.090794340576</v>
      </c>
      <c r="G331" s="74">
        <v>35142.043249707494</v>
      </c>
      <c r="H331" s="74">
        <v>235364.0000000007</v>
      </c>
    </row>
    <row r="332" spans="1:8" hidden="1" x14ac:dyDescent="0.45">
      <c r="A332" s="77" t="s">
        <v>668</v>
      </c>
      <c r="B332" s="80"/>
      <c r="C332" s="74">
        <v>15978.525997545757</v>
      </c>
      <c r="D332" s="74">
        <v>56158.533232260146</v>
      </c>
      <c r="E332" s="74">
        <v>74112.485135383671</v>
      </c>
      <c r="F332" s="74">
        <v>88816.839392896582</v>
      </c>
      <c r="G332" s="74">
        <v>86773.616241913856</v>
      </c>
      <c r="H332" s="74">
        <v>321840.0000000018</v>
      </c>
    </row>
    <row r="333" spans="1:8" hidden="1" x14ac:dyDescent="0.45">
      <c r="A333" s="77" t="s">
        <v>669</v>
      </c>
      <c r="B333" s="80"/>
      <c r="C333" s="74">
        <v>54871.459197007993</v>
      </c>
      <c r="D333" s="74">
        <v>104638.19175590322</v>
      </c>
      <c r="E333" s="74">
        <v>104446.29008735718</v>
      </c>
      <c r="F333" s="74">
        <v>116042.10029252063</v>
      </c>
      <c r="G333" s="74">
        <v>87327.958667211147</v>
      </c>
      <c r="H333" s="74">
        <v>467325.99999999977</v>
      </c>
    </row>
    <row r="334" spans="1:8" hidden="1" x14ac:dyDescent="0.45">
      <c r="A334" s="77" t="s">
        <v>670</v>
      </c>
      <c r="B334" s="80"/>
      <c r="C334" s="74">
        <v>98996.010745496591</v>
      </c>
      <c r="D334" s="74">
        <v>108161.22598271941</v>
      </c>
      <c r="E334" s="74">
        <v>72582.844303736361</v>
      </c>
      <c r="F334" s="74">
        <v>50587.522978504516</v>
      </c>
      <c r="G334" s="74">
        <v>37921.3959895433</v>
      </c>
      <c r="H334" s="74">
        <v>368248.99999999994</v>
      </c>
    </row>
    <row r="335" spans="1:8" hidden="1" x14ac:dyDescent="0.45">
      <c r="A335" s="77" t="s">
        <v>671</v>
      </c>
      <c r="B335" s="80"/>
      <c r="C335" s="74">
        <v>34860.316597656638</v>
      </c>
      <c r="D335" s="74">
        <v>40333.898289727244</v>
      </c>
      <c r="E335" s="74">
        <v>30082.575624425124</v>
      </c>
      <c r="F335" s="74">
        <v>22745.419716005203</v>
      </c>
      <c r="G335" s="74">
        <v>13212.789772185812</v>
      </c>
      <c r="H335" s="74">
        <v>141234.99999999988</v>
      </c>
    </row>
    <row r="336" spans="1:8" hidden="1" x14ac:dyDescent="0.45">
      <c r="A336" s="77" t="s">
        <v>672</v>
      </c>
      <c r="B336" s="80"/>
      <c r="C336" s="74">
        <v>31335.430149291824</v>
      </c>
      <c r="D336" s="74">
        <v>28285.762975316637</v>
      </c>
      <c r="E336" s="74">
        <v>24231.319587192495</v>
      </c>
      <c r="F336" s="74">
        <v>26640.409627246758</v>
      </c>
      <c r="G336" s="74">
        <v>22910.07766095232</v>
      </c>
      <c r="H336" s="74">
        <v>133403.00000000038</v>
      </c>
    </row>
    <row r="337" spans="1:8" hidden="1" x14ac:dyDescent="0.45">
      <c r="A337" s="77" t="s">
        <v>673</v>
      </c>
      <c r="B337" s="80"/>
      <c r="C337" s="74">
        <v>4298.704566209979</v>
      </c>
      <c r="D337" s="74">
        <v>11325.776476845696</v>
      </c>
      <c r="E337" s="74">
        <v>13576.351035574588</v>
      </c>
      <c r="F337" s="74">
        <v>20886.706463392547</v>
      </c>
      <c r="G337" s="74">
        <v>18205.461457977235</v>
      </c>
      <c r="H337" s="74">
        <v>68292.999999999854</v>
      </c>
    </row>
    <row r="338" spans="1:8" hidden="1" x14ac:dyDescent="0.45">
      <c r="A338" s="77" t="s">
        <v>674</v>
      </c>
      <c r="B338" s="80"/>
      <c r="C338" s="74">
        <v>1356.3596861405445</v>
      </c>
      <c r="D338" s="74">
        <v>8305.6749319417195</v>
      </c>
      <c r="E338" s="74">
        <v>12269.022475733105</v>
      </c>
      <c r="F338" s="74">
        <v>23341.212746731544</v>
      </c>
      <c r="G338" s="74">
        <v>39219.730159453124</v>
      </c>
      <c r="H338" s="74">
        <v>84492.000000000073</v>
      </c>
    </row>
    <row r="339" spans="1:8" hidden="1" x14ac:dyDescent="0.45">
      <c r="A339" s="77" t="s">
        <v>675</v>
      </c>
      <c r="B339" s="80"/>
      <c r="C339" s="74">
        <v>8268.179763130207</v>
      </c>
      <c r="D339" s="74">
        <v>45449.330099786486</v>
      </c>
      <c r="E339" s="74">
        <v>69104.99384776337</v>
      </c>
      <c r="F339" s="74">
        <v>59086.263732752413</v>
      </c>
      <c r="G339" s="74">
        <v>38931.232556567331</v>
      </c>
      <c r="H339" s="74">
        <v>220840.00000000058</v>
      </c>
    </row>
    <row r="340" spans="1:8" hidden="1" x14ac:dyDescent="0.45">
      <c r="A340" s="77" t="s">
        <v>676</v>
      </c>
      <c r="B340" s="80"/>
      <c r="C340" s="74">
        <v>17127.273199607571</v>
      </c>
      <c r="D340" s="74">
        <v>35537.20196391939</v>
      </c>
      <c r="E340" s="74">
        <v>49164.292817874441</v>
      </c>
      <c r="F340" s="74">
        <v>47574.485821800852</v>
      </c>
      <c r="G340" s="74">
        <v>29819.746196797616</v>
      </c>
      <c r="H340" s="74">
        <v>179222.99999999994</v>
      </c>
    </row>
    <row r="341" spans="1:8" hidden="1" x14ac:dyDescent="0.45">
      <c r="A341" s="77" t="s">
        <v>677</v>
      </c>
      <c r="B341" s="80"/>
      <c r="C341" s="74">
        <v>9810.9506312192498</v>
      </c>
      <c r="D341" s="74">
        <v>41580.409873343808</v>
      </c>
      <c r="E341" s="74">
        <v>35142.382772992911</v>
      </c>
      <c r="F341" s="74">
        <v>27047.676212210939</v>
      </c>
      <c r="G341" s="74">
        <v>15530.580510233211</v>
      </c>
      <c r="H341" s="74">
        <v>129111.99999999984</v>
      </c>
    </row>
    <row r="342" spans="1:8" hidden="1" x14ac:dyDescent="0.45">
      <c r="A342" s="77" t="s">
        <v>678</v>
      </c>
      <c r="B342" s="80"/>
      <c r="C342" s="74">
        <v>13956.509115767449</v>
      </c>
      <c r="D342" s="74">
        <v>24883.031704202553</v>
      </c>
      <c r="E342" s="74">
        <v>26429.546825966376</v>
      </c>
      <c r="F342" s="74">
        <v>30542.029740345592</v>
      </c>
      <c r="G342" s="74">
        <v>23992.882613718062</v>
      </c>
      <c r="H342" s="74">
        <v>119804.00000000013</v>
      </c>
    </row>
    <row r="343" spans="1:8" hidden="1" x14ac:dyDescent="0.45">
      <c r="A343" s="77" t="s">
        <v>679</v>
      </c>
      <c r="B343" s="80"/>
      <c r="C343" s="74">
        <v>27725.6394546302</v>
      </c>
      <c r="D343" s="74">
        <v>31220.041730552122</v>
      </c>
      <c r="E343" s="74">
        <v>28710.262780898804</v>
      </c>
      <c r="F343" s="74">
        <v>26677.648578620348</v>
      </c>
      <c r="G343" s="74">
        <v>15202.407455298626</v>
      </c>
      <c r="H343" s="74">
        <v>129536.00000000004</v>
      </c>
    </row>
    <row r="344" spans="1:8" hidden="1" x14ac:dyDescent="0.45">
      <c r="A344" s="77" t="s">
        <v>680</v>
      </c>
      <c r="B344" s="80"/>
      <c r="C344" s="74">
        <v>19816.2235689349</v>
      </c>
      <c r="D344" s="74">
        <v>30704.730736087778</v>
      </c>
      <c r="E344" s="74">
        <v>33739.975471562051</v>
      </c>
      <c r="F344" s="74">
        <v>24099.153099160423</v>
      </c>
      <c r="G344" s="74">
        <v>12919.917124254867</v>
      </c>
      <c r="H344" s="74">
        <v>121279.99999999967</v>
      </c>
    </row>
    <row r="345" spans="1:8" hidden="1" x14ac:dyDescent="0.45">
      <c r="A345" s="77" t="s">
        <v>681</v>
      </c>
      <c r="B345" s="80"/>
      <c r="C345" s="74">
        <v>20005.559892565976</v>
      </c>
      <c r="D345" s="74">
        <v>47250.486237321355</v>
      </c>
      <c r="E345" s="74">
        <v>55015.571057761495</v>
      </c>
      <c r="F345" s="74">
        <v>68533.035055683838</v>
      </c>
      <c r="G345" s="74">
        <v>108541.3477566673</v>
      </c>
      <c r="H345" s="74">
        <v>299346.00000000128</v>
      </c>
    </row>
    <row r="346" spans="1:8" hidden="1" x14ac:dyDescent="0.45">
      <c r="A346" s="77" t="s">
        <v>682</v>
      </c>
      <c r="B346" s="80"/>
      <c r="C346" s="74">
        <v>26752.369781406789</v>
      </c>
      <c r="D346" s="74">
        <v>66193.516668986209</v>
      </c>
      <c r="E346" s="74">
        <v>119295.61255064952</v>
      </c>
      <c r="F346" s="74">
        <v>93486.135409262832</v>
      </c>
      <c r="G346" s="74">
        <v>48789.365589694935</v>
      </c>
      <c r="H346" s="74">
        <v>354516.99999999889</v>
      </c>
    </row>
    <row r="347" spans="1:8" hidden="1" x14ac:dyDescent="0.45">
      <c r="A347" s="77" t="s">
        <v>683</v>
      </c>
      <c r="B347" s="80"/>
      <c r="C347" s="74">
        <v>51963.755052104447</v>
      </c>
      <c r="D347" s="74">
        <v>86698.438157199489</v>
      </c>
      <c r="E347" s="74">
        <v>85375.534411325774</v>
      </c>
      <c r="F347" s="74">
        <v>74759.51891295478</v>
      </c>
      <c r="G347" s="74">
        <v>55850.753466415517</v>
      </c>
      <c r="H347" s="74">
        <v>354647.99999999953</v>
      </c>
    </row>
    <row r="348" spans="1:8" hidden="1" x14ac:dyDescent="0.45">
      <c r="A348" s="77" t="s">
        <v>684</v>
      </c>
      <c r="B348" s="80"/>
      <c r="C348" s="74">
        <v>99655.751366594806</v>
      </c>
      <c r="D348" s="74">
        <v>175580.61026620943</v>
      </c>
      <c r="E348" s="74">
        <v>151919.01912676776</v>
      </c>
      <c r="F348" s="74">
        <v>106661.60824087459</v>
      </c>
      <c r="G348" s="74">
        <v>71872.010999553386</v>
      </c>
      <c r="H348" s="74">
        <v>605688.99999999884</v>
      </c>
    </row>
    <row r="349" spans="1:8" hidden="1" x14ac:dyDescent="0.45">
      <c r="A349" s="77" t="s">
        <v>685</v>
      </c>
      <c r="B349" s="80"/>
      <c r="C349" s="74">
        <v>70105.695226230629</v>
      </c>
      <c r="D349" s="74">
        <v>95904.592941282637</v>
      </c>
      <c r="E349" s="74">
        <v>76855.328272845378</v>
      </c>
      <c r="F349" s="74">
        <v>44300.726661440385</v>
      </c>
      <c r="G349" s="74">
        <v>32388.656898200934</v>
      </c>
      <c r="H349" s="74">
        <v>319554.99999999959</v>
      </c>
    </row>
    <row r="350" spans="1:8" hidden="1" x14ac:dyDescent="0.45">
      <c r="A350" s="77" t="s">
        <v>686</v>
      </c>
      <c r="B350" s="80"/>
      <c r="C350" s="74">
        <v>8494.5635945770082</v>
      </c>
      <c r="D350" s="74">
        <v>40876.80449231594</v>
      </c>
      <c r="E350" s="74">
        <v>60528.098141659859</v>
      </c>
      <c r="F350" s="74">
        <v>47805.408003735742</v>
      </c>
      <c r="G350" s="74">
        <v>37665.125767711426</v>
      </c>
      <c r="H350" s="74">
        <v>195369.99999999991</v>
      </c>
    </row>
    <row r="351" spans="1:8" hidden="1" x14ac:dyDescent="0.45">
      <c r="A351" s="77" t="s">
        <v>687</v>
      </c>
      <c r="B351" s="80"/>
      <c r="C351" s="74">
        <v>41130.774959064373</v>
      </c>
      <c r="D351" s="74">
        <v>96689.101099979627</v>
      </c>
      <c r="E351" s="74">
        <v>43580.273721834041</v>
      </c>
      <c r="F351" s="74">
        <v>30556.076869090881</v>
      </c>
      <c r="G351" s="74">
        <v>27534.773350031061</v>
      </c>
      <c r="H351" s="74">
        <v>239491.00000000038</v>
      </c>
    </row>
    <row r="352" spans="1:8" hidden="1" x14ac:dyDescent="0.45">
      <c r="A352" s="77" t="s">
        <v>688</v>
      </c>
      <c r="B352" s="80"/>
      <c r="C352" s="74">
        <v>30377.607525022173</v>
      </c>
      <c r="D352" s="74">
        <v>72360.441830320095</v>
      </c>
      <c r="E352" s="74">
        <v>109452.38686566638</v>
      </c>
      <c r="F352" s="74">
        <v>44277.624877590657</v>
      </c>
      <c r="G352" s="74">
        <v>17862.938901400728</v>
      </c>
      <c r="H352" s="74">
        <v>274330.99999999953</v>
      </c>
    </row>
    <row r="353" spans="1:8" hidden="1" x14ac:dyDescent="0.45">
      <c r="A353" s="77" t="s">
        <v>689</v>
      </c>
      <c r="B353" s="80"/>
      <c r="C353" s="74">
        <v>48263.793074952555</v>
      </c>
      <c r="D353" s="74">
        <v>92857.873579620544</v>
      </c>
      <c r="E353" s="74">
        <v>55996.666425509669</v>
      </c>
      <c r="F353" s="74">
        <v>22617.519479086572</v>
      </c>
      <c r="G353" s="74">
        <v>20736.14744083062</v>
      </c>
      <c r="H353" s="74">
        <v>240471.99999999956</v>
      </c>
    </row>
    <row r="354" spans="1:8" hidden="1" x14ac:dyDescent="0.45">
      <c r="A354" s="77" t="s">
        <v>690</v>
      </c>
      <c r="B354" s="80"/>
      <c r="C354" s="74">
        <v>24894.972619728269</v>
      </c>
      <c r="D354" s="74">
        <v>64546.331678380469</v>
      </c>
      <c r="E354" s="74">
        <v>76946.268075708678</v>
      </c>
      <c r="F354" s="74">
        <v>57483.835464243843</v>
      </c>
      <c r="G354" s="74">
        <v>38682.592161938723</v>
      </c>
      <c r="H354" s="74">
        <v>262553.99999999959</v>
      </c>
    </row>
    <row r="355" spans="1:8" hidden="1" x14ac:dyDescent="0.45">
      <c r="A355" s="77" t="s">
        <v>691</v>
      </c>
      <c r="B355" s="80"/>
      <c r="C355" s="74">
        <v>20252.48343361968</v>
      </c>
      <c r="D355" s="74">
        <v>80082.571553380054</v>
      </c>
      <c r="E355" s="74">
        <v>104332.6689640423</v>
      </c>
      <c r="F355" s="74">
        <v>116770.6052343958</v>
      </c>
      <c r="G355" s="74">
        <v>95635.67081456272</v>
      </c>
      <c r="H355" s="74">
        <v>417074.00000000239</v>
      </c>
    </row>
    <row r="356" spans="1:8" hidden="1" x14ac:dyDescent="0.45">
      <c r="A356" s="77" t="s">
        <v>692</v>
      </c>
      <c r="B356" s="80"/>
      <c r="C356" s="74">
        <v>18573.64950835767</v>
      </c>
      <c r="D356" s="74">
        <v>45721.883116888617</v>
      </c>
      <c r="E356" s="74">
        <v>35291.031101842018</v>
      </c>
      <c r="F356" s="74">
        <v>24294.657612074006</v>
      </c>
      <c r="G356" s="74">
        <v>11758.778660837723</v>
      </c>
      <c r="H356" s="74">
        <v>135640.00000000026</v>
      </c>
    </row>
    <row r="357" spans="1:8" hidden="1" x14ac:dyDescent="0.45">
      <c r="A357" s="77" t="s">
        <v>693</v>
      </c>
      <c r="B357" s="80"/>
      <c r="C357" s="74">
        <v>109783.95014017641</v>
      </c>
      <c r="D357" s="74">
        <v>153063.05902684527</v>
      </c>
      <c r="E357" s="74">
        <v>164727.8849770361</v>
      </c>
      <c r="F357" s="74">
        <v>152783.06458473738</v>
      </c>
      <c r="G357" s="74">
        <v>143134.04127120497</v>
      </c>
      <c r="H357" s="74">
        <v>723491.9999999993</v>
      </c>
    </row>
    <row r="358" spans="1:8" hidden="1" x14ac:dyDescent="0.45">
      <c r="A358" s="77" t="s">
        <v>694</v>
      </c>
      <c r="B358" s="80"/>
      <c r="C358" s="74">
        <v>16129.799110386452</v>
      </c>
      <c r="D358" s="74">
        <v>44099.591198342598</v>
      </c>
      <c r="E358" s="74">
        <v>53145.369521758992</v>
      </c>
      <c r="F358" s="74">
        <v>77998.679616324123</v>
      </c>
      <c r="G358" s="74">
        <v>93742.560553187723</v>
      </c>
      <c r="H358" s="74">
        <v>285116.0000000007</v>
      </c>
    </row>
    <row r="359" spans="1:8" hidden="1" x14ac:dyDescent="0.45">
      <c r="A359" s="77" t="s">
        <v>695</v>
      </c>
      <c r="B359" s="80"/>
      <c r="C359" s="74">
        <v>19393.620474941752</v>
      </c>
      <c r="D359" s="74">
        <v>60206.663111193746</v>
      </c>
      <c r="E359" s="74">
        <v>71815.478674274156</v>
      </c>
      <c r="F359" s="74">
        <v>86065.899490647877</v>
      </c>
      <c r="G359" s="74">
        <v>52245.338248942375</v>
      </c>
      <c r="H359" s="74">
        <v>289727.00000000064</v>
      </c>
    </row>
    <row r="360" spans="1:8" hidden="1" x14ac:dyDescent="0.45">
      <c r="A360" s="77" t="s">
        <v>696</v>
      </c>
      <c r="B360" s="80"/>
      <c r="C360" s="74">
        <v>6604.301898669758</v>
      </c>
      <c r="D360" s="74">
        <v>19857.254375233893</v>
      </c>
      <c r="E360" s="74">
        <v>37339.286771640429</v>
      </c>
      <c r="F360" s="74">
        <v>51919.003294585636</v>
      </c>
      <c r="G360" s="74">
        <v>35451.153659870019</v>
      </c>
      <c r="H360" s="74">
        <v>151171.00000000049</v>
      </c>
    </row>
    <row r="361" spans="1:8" hidden="1" x14ac:dyDescent="0.45">
      <c r="A361" s="77" t="s">
        <v>697</v>
      </c>
      <c r="B361" s="80"/>
      <c r="C361" s="74">
        <v>51578.909551483091</v>
      </c>
      <c r="D361" s="74">
        <v>107037.04591686517</v>
      </c>
      <c r="E361" s="74">
        <v>228689.18281395419</v>
      </c>
      <c r="F361" s="74">
        <v>242787.37342132049</v>
      </c>
      <c r="G361" s="74">
        <v>170116.48829637663</v>
      </c>
      <c r="H361" s="74">
        <v>800208.99999999802</v>
      </c>
    </row>
    <row r="362" spans="1:8" hidden="1" x14ac:dyDescent="0.45">
      <c r="A362" s="77" t="s">
        <v>698</v>
      </c>
      <c r="B362" s="80"/>
      <c r="C362" s="74">
        <v>11227.052837688707</v>
      </c>
      <c r="D362" s="74">
        <v>34442.553787370627</v>
      </c>
      <c r="E362" s="74">
        <v>75562.883364896523</v>
      </c>
      <c r="F362" s="74">
        <v>131018.5286760266</v>
      </c>
      <c r="G362" s="74">
        <v>156754.98133401779</v>
      </c>
      <c r="H362" s="74">
        <v>409006.00000000023</v>
      </c>
    </row>
    <row r="363" spans="1:8" hidden="1" x14ac:dyDescent="0.45">
      <c r="A363" s="77" t="s">
        <v>699</v>
      </c>
      <c r="B363" s="80"/>
      <c r="C363" s="74">
        <v>14669.700817081412</v>
      </c>
      <c r="D363" s="74">
        <v>24089.347732444061</v>
      </c>
      <c r="E363" s="74">
        <v>45947.023403891239</v>
      </c>
      <c r="F363" s="74">
        <v>68744.031140169885</v>
      </c>
      <c r="G363" s="74">
        <v>86010.896906413356</v>
      </c>
      <c r="H363" s="74">
        <v>239461.00000000041</v>
      </c>
    </row>
    <row r="364" spans="1:8" hidden="1" x14ac:dyDescent="0.45">
      <c r="A364" s="77" t="s">
        <v>700</v>
      </c>
      <c r="B364" s="80"/>
      <c r="C364" s="74">
        <v>16538.344270721624</v>
      </c>
      <c r="D364" s="74">
        <v>36060.58002566002</v>
      </c>
      <c r="E364" s="74">
        <v>47098.34194860352</v>
      </c>
      <c r="F364" s="74">
        <v>39511.80404663564</v>
      </c>
      <c r="G364" s="74">
        <v>21337.929708379146</v>
      </c>
      <c r="H364" s="74">
        <v>160547.00000000012</v>
      </c>
    </row>
    <row r="365" spans="1:8" hidden="1" x14ac:dyDescent="0.45">
      <c r="A365" s="77" t="s">
        <v>701</v>
      </c>
      <c r="B365" s="80"/>
      <c r="C365" s="74">
        <v>2025.9228989349047</v>
      </c>
      <c r="D365" s="74">
        <v>5746.2066102317312</v>
      </c>
      <c r="E365" s="74">
        <v>6205.392691866401</v>
      </c>
      <c r="F365" s="74">
        <v>6059.4661162899947</v>
      </c>
      <c r="G365" s="74">
        <v>6847.0116826769163</v>
      </c>
      <c r="H365" s="74">
        <v>26884.000000000138</v>
      </c>
    </row>
    <row r="366" spans="1:8" hidden="1" x14ac:dyDescent="0.45">
      <c r="A366" s="77" t="s">
        <v>702</v>
      </c>
      <c r="B366" s="80"/>
      <c r="C366" s="74">
        <v>10079.195273610014</v>
      </c>
      <c r="D366" s="74">
        <v>52805.64213361562</v>
      </c>
      <c r="E366" s="74">
        <v>101721.68681363828</v>
      </c>
      <c r="F366" s="74">
        <v>210757.72040466484</v>
      </c>
      <c r="G366" s="74">
        <v>273209.75537447119</v>
      </c>
      <c r="H366" s="74">
        <v>648573.99999999942</v>
      </c>
    </row>
    <row r="367" spans="1:8" hidden="1" x14ac:dyDescent="0.45">
      <c r="A367" s="77" t="s">
        <v>703</v>
      </c>
      <c r="B367" s="80"/>
      <c r="C367" s="74">
        <v>20375.631112472944</v>
      </c>
      <c r="D367" s="74">
        <v>92927.224708660709</v>
      </c>
      <c r="E367" s="74">
        <v>183633.27278962958</v>
      </c>
      <c r="F367" s="74">
        <v>289682.03001538239</v>
      </c>
      <c r="G367" s="74">
        <v>285201.84137385426</v>
      </c>
      <c r="H367" s="74">
        <v>871820.00000000175</v>
      </c>
    </row>
    <row r="368" spans="1:8" hidden="1" x14ac:dyDescent="0.45">
      <c r="A368" s="77" t="s">
        <v>704</v>
      </c>
      <c r="B368" s="80"/>
      <c r="C368" s="74">
        <v>1331.5999167275409</v>
      </c>
      <c r="D368" s="74">
        <v>20281.534349987774</v>
      </c>
      <c r="E368" s="74">
        <v>41106.751992609104</v>
      </c>
      <c r="F368" s="74">
        <v>56686.230740628846</v>
      </c>
      <c r="G368" s="74">
        <v>68032.883000046611</v>
      </c>
      <c r="H368" s="74">
        <v>187438.99999999948</v>
      </c>
    </row>
    <row r="369" spans="1:8" hidden="1" x14ac:dyDescent="0.45">
      <c r="A369" s="77" t="s">
        <v>705</v>
      </c>
      <c r="B369" s="80"/>
      <c r="C369" s="74">
        <v>3191.3474898798472</v>
      </c>
      <c r="D369" s="74">
        <v>18058.689824017609</v>
      </c>
      <c r="E369" s="74">
        <v>25499.067746365523</v>
      </c>
      <c r="F369" s="74">
        <v>26853.029718721842</v>
      </c>
      <c r="G369" s="74">
        <v>17448.865221015221</v>
      </c>
      <c r="H369" s="74">
        <v>91051.000000000058</v>
      </c>
    </row>
    <row r="370" spans="1:8" hidden="1" x14ac:dyDescent="0.45">
      <c r="A370" s="77" t="s">
        <v>706</v>
      </c>
      <c r="B370" s="80"/>
      <c r="C370" s="74">
        <v>3517.6706260948176</v>
      </c>
      <c r="D370" s="74">
        <v>17019.016570382504</v>
      </c>
      <c r="E370" s="74">
        <v>23051.327354924655</v>
      </c>
      <c r="F370" s="74">
        <v>49062.366053768827</v>
      </c>
      <c r="G370" s="74">
        <v>42953.619394829242</v>
      </c>
      <c r="H370" s="74">
        <v>135604.00000000012</v>
      </c>
    </row>
    <row r="371" spans="1:8" hidden="1" x14ac:dyDescent="0.45">
      <c r="A371" s="77" t="s">
        <v>707</v>
      </c>
      <c r="B371" s="80"/>
      <c r="C371" s="74">
        <v>1678.6801347990731</v>
      </c>
      <c r="D371" s="74">
        <v>4686.9376735620845</v>
      </c>
      <c r="E371" s="74">
        <v>9551.0655910040932</v>
      </c>
      <c r="F371" s="74">
        <v>8580.5968428439464</v>
      </c>
      <c r="G371" s="74">
        <v>7340.7197577906873</v>
      </c>
      <c r="H371" s="74">
        <v>31838.000000000498</v>
      </c>
    </row>
    <row r="372" spans="1:8" hidden="1" x14ac:dyDescent="0.45">
      <c r="A372" s="77" t="s">
        <v>708</v>
      </c>
      <c r="B372" s="80"/>
      <c r="C372" s="74">
        <v>8602.4809363636177</v>
      </c>
      <c r="D372" s="74">
        <v>52008.627135648043</v>
      </c>
      <c r="E372" s="74">
        <v>56794.934306292016</v>
      </c>
      <c r="F372" s="74">
        <v>71053.052412782607</v>
      </c>
      <c r="G372" s="74">
        <v>26392.90520891358</v>
      </c>
      <c r="H372" s="74">
        <v>214851.99999999991</v>
      </c>
    </row>
    <row r="373" spans="1:8" hidden="1" x14ac:dyDescent="0.45">
      <c r="A373" s="77" t="s">
        <v>709</v>
      </c>
      <c r="B373" s="80"/>
      <c r="C373" s="74">
        <v>4195.819740924353</v>
      </c>
      <c r="D373" s="74">
        <v>28972.049320487971</v>
      </c>
      <c r="E373" s="74">
        <v>80760.039534874071</v>
      </c>
      <c r="F373" s="74">
        <v>95809.753298898577</v>
      </c>
      <c r="G373" s="74">
        <v>60768.33810481555</v>
      </c>
      <c r="H373" s="74">
        <v>270506.0000000007</v>
      </c>
    </row>
    <row r="374" spans="1:8" hidden="1" x14ac:dyDescent="0.45">
      <c r="A374" s="77" t="s">
        <v>710</v>
      </c>
      <c r="B374" s="80"/>
      <c r="C374" s="74">
        <v>86526.726008271158</v>
      </c>
      <c r="D374" s="74">
        <v>58769.310526758432</v>
      </c>
      <c r="E374" s="74">
        <v>49840.024739731678</v>
      </c>
      <c r="F374" s="74">
        <v>38513.569381513124</v>
      </c>
      <c r="G374" s="74">
        <v>24323.369343725495</v>
      </c>
      <c r="H374" s="74">
        <v>257972.99999999988</v>
      </c>
    </row>
    <row r="375" spans="1:8" hidden="1" x14ac:dyDescent="0.45">
      <c r="A375" s="77" t="s">
        <v>711</v>
      </c>
      <c r="B375" s="80"/>
      <c r="C375" s="74">
        <v>78759.83947000785</v>
      </c>
      <c r="D375" s="74">
        <v>59604.043696176872</v>
      </c>
      <c r="E375" s="74">
        <v>79016.799556169324</v>
      </c>
      <c r="F375" s="74">
        <v>71231.869628054017</v>
      </c>
      <c r="G375" s="74">
        <v>58567.447649591813</v>
      </c>
      <c r="H375" s="74">
        <v>347179.99999999948</v>
      </c>
    </row>
    <row r="376" spans="1:8" hidden="1" x14ac:dyDescent="0.45">
      <c r="A376" s="77" t="s">
        <v>712</v>
      </c>
      <c r="B376" s="80"/>
      <c r="C376" s="74">
        <v>69433.01796886079</v>
      </c>
      <c r="D376" s="74">
        <v>20820.552265704224</v>
      </c>
      <c r="E376" s="74">
        <v>17114.682601804605</v>
      </c>
      <c r="F376" s="74">
        <v>14966.912281211458</v>
      </c>
      <c r="G376" s="74">
        <v>10195.83488241894</v>
      </c>
      <c r="H376" s="74">
        <v>132530.99999999971</v>
      </c>
    </row>
    <row r="377" spans="1:8" hidden="1" x14ac:dyDescent="0.45">
      <c r="A377" s="77" t="s">
        <v>713</v>
      </c>
      <c r="B377" s="80"/>
      <c r="C377" s="74">
        <v>39491.328588921562</v>
      </c>
      <c r="D377" s="74">
        <v>16125.500920537866</v>
      </c>
      <c r="E377" s="74">
        <v>15473.250741124715</v>
      </c>
      <c r="F377" s="74">
        <v>14632.499331587422</v>
      </c>
      <c r="G377" s="74">
        <v>8504.420417828449</v>
      </c>
      <c r="H377" s="74">
        <v>94226.999999999825</v>
      </c>
    </row>
    <row r="378" spans="1:8" hidden="1" x14ac:dyDescent="0.45">
      <c r="A378" s="77" t="s">
        <v>714</v>
      </c>
      <c r="B378" s="80"/>
      <c r="C378" s="74">
        <v>82779.708859620689</v>
      </c>
      <c r="D378" s="74">
        <v>46331.964712959511</v>
      </c>
      <c r="E378" s="74">
        <v>26680.574025818973</v>
      </c>
      <c r="F378" s="74">
        <v>30713.269891874133</v>
      </c>
      <c r="G378" s="74">
        <v>26133.482509726749</v>
      </c>
      <c r="H378" s="74">
        <v>212639.00000000026</v>
      </c>
    </row>
    <row r="379" spans="1:8" hidden="1" x14ac:dyDescent="0.45">
      <c r="A379" s="77" t="s">
        <v>715</v>
      </c>
      <c r="B379" s="80"/>
      <c r="C379" s="74">
        <v>54299.179270396671</v>
      </c>
      <c r="D379" s="74">
        <v>44605.744436343688</v>
      </c>
      <c r="E379" s="74">
        <v>39339.229171508792</v>
      </c>
      <c r="F379" s="74">
        <v>34000.94898549778</v>
      </c>
      <c r="G379" s="74">
        <v>33146.898136253039</v>
      </c>
      <c r="H379" s="74">
        <v>205391.99999999965</v>
      </c>
    </row>
    <row r="380" spans="1:8" hidden="1" x14ac:dyDescent="0.45">
      <c r="A380" s="77" t="s">
        <v>716</v>
      </c>
      <c r="B380" s="80"/>
      <c r="C380" s="74">
        <v>39556.506097006961</v>
      </c>
      <c r="D380" s="74">
        <v>16670.40750499511</v>
      </c>
      <c r="E380" s="74">
        <v>8757.1268485227611</v>
      </c>
      <c r="F380" s="74">
        <v>9148.8494743809697</v>
      </c>
      <c r="G380" s="74">
        <v>8801.1100750942151</v>
      </c>
      <c r="H380" s="74">
        <v>82933.999999999898</v>
      </c>
    </row>
    <row r="381" spans="1:8" hidden="1" x14ac:dyDescent="0.45">
      <c r="A381" s="77" t="s">
        <v>717</v>
      </c>
      <c r="B381" s="80"/>
      <c r="C381" s="74">
        <v>27721.566654431183</v>
      </c>
      <c r="D381" s="74">
        <v>14290.335220776029</v>
      </c>
      <c r="E381" s="74">
        <v>9881.4963546224826</v>
      </c>
      <c r="F381" s="74">
        <v>8211.8658591716321</v>
      </c>
      <c r="G381" s="74">
        <v>7413.7359109987665</v>
      </c>
      <c r="H381" s="74">
        <v>67519.000000000116</v>
      </c>
    </row>
    <row r="382" spans="1:8" hidden="1" x14ac:dyDescent="0.45">
      <c r="A382" s="77" t="s">
        <v>718</v>
      </c>
      <c r="B382" s="80"/>
      <c r="C382" s="74">
        <v>31539.76873255294</v>
      </c>
      <c r="D382" s="74">
        <v>27736.058383035001</v>
      </c>
      <c r="E382" s="74">
        <v>19569.447219363174</v>
      </c>
      <c r="F382" s="74">
        <v>16656.36542510138</v>
      </c>
      <c r="G382" s="74">
        <v>11738.360239947511</v>
      </c>
      <c r="H382" s="74">
        <v>107239.99999999993</v>
      </c>
    </row>
    <row r="383" spans="1:8" hidden="1" x14ac:dyDescent="0.45">
      <c r="A383" s="77" t="s">
        <v>719</v>
      </c>
      <c r="B383" s="80"/>
      <c r="C383" s="74">
        <v>31305.548387693871</v>
      </c>
      <c r="D383" s="74">
        <v>17533.084086856827</v>
      </c>
      <c r="E383" s="74">
        <v>8085.1142579918242</v>
      </c>
      <c r="F383" s="74">
        <v>7583.8774251204795</v>
      </c>
      <c r="G383" s="74">
        <v>4253.3758423369227</v>
      </c>
      <c r="H383" s="74">
        <v>68760.999999999782</v>
      </c>
    </row>
    <row r="384" spans="1:8" hidden="1" x14ac:dyDescent="0.45">
      <c r="A384" s="77" t="s">
        <v>720</v>
      </c>
      <c r="B384" s="80"/>
      <c r="C384" s="74">
        <v>20292.026314539031</v>
      </c>
      <c r="D384" s="74">
        <v>15208.252922281423</v>
      </c>
      <c r="E384" s="74">
        <v>13488.625202437626</v>
      </c>
      <c r="F384" s="74">
        <v>14305.64936110933</v>
      </c>
      <c r="G384" s="74">
        <v>11246.446199632564</v>
      </c>
      <c r="H384" s="74">
        <v>74541.000000000116</v>
      </c>
    </row>
    <row r="385" spans="1:8" hidden="1" x14ac:dyDescent="0.45">
      <c r="A385" s="77" t="s">
        <v>721</v>
      </c>
      <c r="B385" s="80"/>
      <c r="C385" s="74">
        <v>100426.35503297635</v>
      </c>
      <c r="D385" s="74">
        <v>91458.549159865128</v>
      </c>
      <c r="E385" s="74">
        <v>59868.886413351</v>
      </c>
      <c r="F385" s="74">
        <v>76711.549621510712</v>
      </c>
      <c r="G385" s="74">
        <v>105859.65977229652</v>
      </c>
      <c r="H385" s="74">
        <v>434325.00000000163</v>
      </c>
    </row>
    <row r="386" spans="1:8" hidden="1" x14ac:dyDescent="0.45">
      <c r="A386" s="77" t="s">
        <v>722</v>
      </c>
      <c r="B386" s="80"/>
      <c r="C386" s="74">
        <v>54570.771594942918</v>
      </c>
      <c r="D386" s="74">
        <v>55099.408386659277</v>
      </c>
      <c r="E386" s="74">
        <v>48089.001419089422</v>
      </c>
      <c r="F386" s="74">
        <v>33632.852418452698</v>
      </c>
      <c r="G386" s="74">
        <v>37081.966180855707</v>
      </c>
      <c r="H386" s="74">
        <v>228473.99999999991</v>
      </c>
    </row>
    <row r="387" spans="1:8" hidden="1" x14ac:dyDescent="0.45">
      <c r="A387" s="77" t="s">
        <v>723</v>
      </c>
      <c r="B387" s="80"/>
      <c r="C387" s="74">
        <v>19129.174786606887</v>
      </c>
      <c r="D387" s="74">
        <v>24859.407693737856</v>
      </c>
      <c r="E387" s="74">
        <v>21011.789457188424</v>
      </c>
      <c r="F387" s="74">
        <v>20464.946687839241</v>
      </c>
      <c r="G387" s="74">
        <v>25978.681374627653</v>
      </c>
      <c r="H387" s="74">
        <v>111444.00000000019</v>
      </c>
    </row>
    <row r="388" spans="1:8" hidden="1" x14ac:dyDescent="0.45">
      <c r="A388" s="77" t="s">
        <v>724</v>
      </c>
      <c r="B388" s="80"/>
      <c r="C388" s="74">
        <v>43236.708258489314</v>
      </c>
      <c r="D388" s="74">
        <v>31520.12302725565</v>
      </c>
      <c r="E388" s="74">
        <v>20601.454069354109</v>
      </c>
      <c r="F388" s="74">
        <v>19084.153171407968</v>
      </c>
      <c r="G388" s="74">
        <v>21219.561473492886</v>
      </c>
      <c r="H388" s="74">
        <v>135662.00000000015</v>
      </c>
    </row>
    <row r="389" spans="1:8" hidden="1" x14ac:dyDescent="0.45">
      <c r="A389" s="77" t="s">
        <v>725</v>
      </c>
      <c r="B389" s="80"/>
      <c r="C389" s="74">
        <v>49150.361592909016</v>
      </c>
      <c r="D389" s="74">
        <v>41036.618341168323</v>
      </c>
      <c r="E389" s="74">
        <v>17065.87139887075</v>
      </c>
      <c r="F389" s="74">
        <v>8417.8562484050672</v>
      </c>
      <c r="G389" s="74">
        <v>4452.2924186468681</v>
      </c>
      <c r="H389" s="74">
        <v>120122.9999999999</v>
      </c>
    </row>
    <row r="390" spans="1:8" hidden="1" x14ac:dyDescent="0.45">
      <c r="A390" s="77" t="s">
        <v>726</v>
      </c>
      <c r="B390" s="80"/>
      <c r="C390" s="74">
        <v>73935.423000080948</v>
      </c>
      <c r="D390" s="74">
        <v>119109.05925234071</v>
      </c>
      <c r="E390" s="74">
        <v>95602.0087040988</v>
      </c>
      <c r="F390" s="74">
        <v>73018.974421229374</v>
      </c>
      <c r="G390" s="74">
        <v>32940.534622249914</v>
      </c>
      <c r="H390" s="74">
        <v>394606.00000000198</v>
      </c>
    </row>
    <row r="391" spans="1:8" hidden="1" x14ac:dyDescent="0.45">
      <c r="A391" s="77" t="s">
        <v>727</v>
      </c>
      <c r="B391" s="80"/>
      <c r="C391" s="74">
        <v>10306.074652339588</v>
      </c>
      <c r="D391" s="74">
        <v>15109.078334360329</v>
      </c>
      <c r="E391" s="74">
        <v>32689.919216459821</v>
      </c>
      <c r="F391" s="74">
        <v>33739.57730903662</v>
      </c>
      <c r="G391" s="74">
        <v>36082.350487803662</v>
      </c>
      <c r="H391" s="74">
        <v>127927.00000000009</v>
      </c>
    </row>
    <row r="392" spans="1:8" hidden="1" x14ac:dyDescent="0.45">
      <c r="A392" s="77" t="s">
        <v>728</v>
      </c>
      <c r="B392" s="80"/>
      <c r="C392" s="74">
        <v>36225.362938743514</v>
      </c>
      <c r="D392" s="74">
        <v>80859.37433222773</v>
      </c>
      <c r="E392" s="74">
        <v>74435.649755948019</v>
      </c>
      <c r="F392" s="74">
        <v>54135.654932577498</v>
      </c>
      <c r="G392" s="74">
        <v>27889.95804050341</v>
      </c>
      <c r="H392" s="74">
        <v>273546.00000000081</v>
      </c>
    </row>
    <row r="393" spans="1:8" hidden="1" x14ac:dyDescent="0.45">
      <c r="A393" s="77" t="s">
        <v>729</v>
      </c>
      <c r="B393" s="80"/>
      <c r="C393" s="74">
        <v>85067.628170300261</v>
      </c>
      <c r="D393" s="74">
        <v>120589.88652178014</v>
      </c>
      <c r="E393" s="74">
        <v>67209.224255541849</v>
      </c>
      <c r="F393" s="74">
        <v>26235.328955562851</v>
      </c>
      <c r="G393" s="74">
        <v>10840.932096814789</v>
      </c>
      <c r="H393" s="74">
        <v>309942.99999999948</v>
      </c>
    </row>
    <row r="394" spans="1:8" hidden="1" x14ac:dyDescent="0.45">
      <c r="A394" s="77" t="s">
        <v>730</v>
      </c>
      <c r="B394" s="80"/>
      <c r="C394" s="74">
        <v>90247.976075981307</v>
      </c>
      <c r="D394" s="74">
        <v>74245.952308379274</v>
      </c>
      <c r="E394" s="74">
        <v>39396.603635934065</v>
      </c>
      <c r="F394" s="74">
        <v>22139.381485468282</v>
      </c>
      <c r="G394" s="74">
        <v>16133.086494237063</v>
      </c>
      <c r="H394" s="74">
        <v>242162.9999999991</v>
      </c>
    </row>
    <row r="395" spans="1:8" hidden="1" x14ac:dyDescent="0.45">
      <c r="A395" s="77" t="s">
        <v>731</v>
      </c>
      <c r="B395" s="80"/>
      <c r="C395" s="74">
        <v>60241.769609652161</v>
      </c>
      <c r="D395" s="74">
        <v>57276.383052805992</v>
      </c>
      <c r="E395" s="74">
        <v>28732.275417199569</v>
      </c>
      <c r="F395" s="74">
        <v>17046.741305355394</v>
      </c>
      <c r="G395" s="74">
        <v>9792.8306149868968</v>
      </c>
      <c r="H395" s="74">
        <v>173090.00000000006</v>
      </c>
    </row>
    <row r="396" spans="1:8" hidden="1" x14ac:dyDescent="0.45">
      <c r="A396" s="77" t="s">
        <v>732</v>
      </c>
      <c r="B396" s="80"/>
      <c r="C396" s="74">
        <v>175822.26139332147</v>
      </c>
      <c r="D396" s="74">
        <v>132871.40030445385</v>
      </c>
      <c r="E396" s="74">
        <v>114153.10360624276</v>
      </c>
      <c r="F396" s="74">
        <v>62041.137342091242</v>
      </c>
      <c r="G396" s="74">
        <v>32725.097353890724</v>
      </c>
      <c r="H396" s="74">
        <v>517613.00000000425</v>
      </c>
    </row>
    <row r="397" spans="1:8" hidden="1" x14ac:dyDescent="0.45">
      <c r="A397" s="77" t="s">
        <v>733</v>
      </c>
      <c r="B397" s="80"/>
      <c r="C397" s="74">
        <v>44142.390781275659</v>
      </c>
      <c r="D397" s="74">
        <v>59823.272018629825</v>
      </c>
      <c r="E397" s="74">
        <v>29704.974296817418</v>
      </c>
      <c r="F397" s="74">
        <v>16319.506360695297</v>
      </c>
      <c r="G397" s="74">
        <v>8426.8565425818779</v>
      </c>
      <c r="H397" s="74">
        <v>158416.99999999997</v>
      </c>
    </row>
    <row r="398" spans="1:8" hidden="1" x14ac:dyDescent="0.45">
      <c r="A398" s="77" t="s">
        <v>734</v>
      </c>
      <c r="B398" s="80"/>
      <c r="C398" s="74">
        <v>80424.765116745519</v>
      </c>
      <c r="D398" s="74">
        <v>72172.207278892063</v>
      </c>
      <c r="E398" s="74">
        <v>52100.339997668714</v>
      </c>
      <c r="F398" s="74">
        <v>25154.384457175875</v>
      </c>
      <c r="G398" s="74">
        <v>15399.303149517815</v>
      </c>
      <c r="H398" s="74">
        <v>245251.00000000035</v>
      </c>
    </row>
    <row r="399" spans="1:8" hidden="1" x14ac:dyDescent="0.45">
      <c r="A399" s="77" t="s">
        <v>735</v>
      </c>
      <c r="B399" s="80"/>
      <c r="C399" s="74">
        <v>26564.593140873472</v>
      </c>
      <c r="D399" s="74">
        <v>29159.726788913791</v>
      </c>
      <c r="E399" s="74">
        <v>13091.792498490282</v>
      </c>
      <c r="F399" s="74">
        <v>8217.563868398769</v>
      </c>
      <c r="G399" s="74">
        <v>2616.3237033234409</v>
      </c>
      <c r="H399" s="74">
        <v>79650.000000000233</v>
      </c>
    </row>
    <row r="400" spans="1:8" hidden="1" x14ac:dyDescent="0.45">
      <c r="A400" s="77" t="s">
        <v>736</v>
      </c>
      <c r="B400" s="80"/>
      <c r="C400" s="74">
        <v>9158.5242842505595</v>
      </c>
      <c r="D400" s="74">
        <v>29707.324106696775</v>
      </c>
      <c r="E400" s="74">
        <v>42914.661136109964</v>
      </c>
      <c r="F400" s="74">
        <v>35896.039342172022</v>
      </c>
      <c r="G400" s="74">
        <v>19801.451130770547</v>
      </c>
      <c r="H400" s="74">
        <v>137478.00000000125</v>
      </c>
    </row>
    <row r="401" spans="1:8" hidden="1" x14ac:dyDescent="0.45">
      <c r="A401" s="77" t="s">
        <v>737</v>
      </c>
      <c r="B401" s="80"/>
      <c r="C401" s="74">
        <v>50570.096443650335</v>
      </c>
      <c r="D401" s="74">
        <v>119561.86392980565</v>
      </c>
      <c r="E401" s="74">
        <v>62797.103928039127</v>
      </c>
      <c r="F401" s="74">
        <v>100407.09835173008</v>
      </c>
      <c r="G401" s="74">
        <v>75494.837346774526</v>
      </c>
      <c r="H401" s="74">
        <v>408831.00000000006</v>
      </c>
    </row>
    <row r="402" spans="1:8" hidden="1" x14ac:dyDescent="0.45">
      <c r="A402" s="77" t="s">
        <v>738</v>
      </c>
      <c r="B402" s="80"/>
      <c r="C402" s="74">
        <v>54554.106693812893</v>
      </c>
      <c r="D402" s="74">
        <v>35787.202200282583</v>
      </c>
      <c r="E402" s="74">
        <v>17115.392296732807</v>
      </c>
      <c r="F402" s="74">
        <v>19465.174539053158</v>
      </c>
      <c r="G402" s="74">
        <v>10713.124270118529</v>
      </c>
      <c r="H402" s="74">
        <v>137635.00000000012</v>
      </c>
    </row>
    <row r="403" spans="1:8" hidden="1" x14ac:dyDescent="0.45">
      <c r="A403" s="77" t="s">
        <v>739</v>
      </c>
      <c r="B403" s="80"/>
      <c r="C403" s="74">
        <v>205948.36335596108</v>
      </c>
      <c r="D403" s="74">
        <v>56430.377191194457</v>
      </c>
      <c r="E403" s="74">
        <v>62012.482385840041</v>
      </c>
      <c r="F403" s="74">
        <v>52141.192038534151</v>
      </c>
      <c r="G403" s="74">
        <v>48032.585028470152</v>
      </c>
      <c r="H403" s="74">
        <v>424564.99999999977</v>
      </c>
    </row>
    <row r="404" spans="1:8" hidden="1" x14ac:dyDescent="0.45">
      <c r="A404" s="77" t="s">
        <v>740</v>
      </c>
      <c r="B404" s="80"/>
      <c r="C404" s="74">
        <v>61056.956007851397</v>
      </c>
      <c r="D404" s="74">
        <v>49637.831128539408</v>
      </c>
      <c r="E404" s="74">
        <v>37162.252027634342</v>
      </c>
      <c r="F404" s="74">
        <v>27414.62601666242</v>
      </c>
      <c r="G404" s="74">
        <v>15309.334819312375</v>
      </c>
      <c r="H404" s="74">
        <v>190580.99999999997</v>
      </c>
    </row>
    <row r="405" spans="1:8" hidden="1" x14ac:dyDescent="0.45">
      <c r="A405" s="77" t="s">
        <v>741</v>
      </c>
      <c r="B405" s="80"/>
      <c r="C405" s="74">
        <v>205473.81373986081</v>
      </c>
      <c r="D405" s="74">
        <v>68711.893521198159</v>
      </c>
      <c r="E405" s="74">
        <v>40496.119466782671</v>
      </c>
      <c r="F405" s="74">
        <v>43403.528981925156</v>
      </c>
      <c r="G405" s="74">
        <v>11792.644290233322</v>
      </c>
      <c r="H405" s="74">
        <v>369878.00000000023</v>
      </c>
    </row>
    <row r="406" spans="1:8" hidden="1" x14ac:dyDescent="0.45">
      <c r="A406" s="77" t="s">
        <v>742</v>
      </c>
      <c r="B406" s="80"/>
      <c r="C406" s="74">
        <v>130979.4721900484</v>
      </c>
      <c r="D406" s="74">
        <v>55334.351815812268</v>
      </c>
      <c r="E406" s="74">
        <v>42226.577508381532</v>
      </c>
      <c r="F406" s="74">
        <v>46659.629973714349</v>
      </c>
      <c r="G406" s="74">
        <v>26502.968512043128</v>
      </c>
      <c r="H406" s="74">
        <v>301703.00000000052</v>
      </c>
    </row>
    <row r="407" spans="1:8" hidden="1" x14ac:dyDescent="0.45">
      <c r="A407" s="77" t="s">
        <v>743</v>
      </c>
      <c r="B407" s="80"/>
      <c r="C407" s="74">
        <v>276148.77338945295</v>
      </c>
      <c r="D407" s="74">
        <v>161425.4102851421</v>
      </c>
      <c r="E407" s="74">
        <v>122259.98291528142</v>
      </c>
      <c r="F407" s="74">
        <v>144739.72478900768</v>
      </c>
      <c r="G407" s="74">
        <v>91632.108621116553</v>
      </c>
      <c r="H407" s="74">
        <v>796206.00000000081</v>
      </c>
    </row>
    <row r="408" spans="1:8" hidden="1" x14ac:dyDescent="0.45">
      <c r="A408" s="77" t="s">
        <v>744</v>
      </c>
      <c r="B408" s="80"/>
      <c r="C408" s="74">
        <v>109661.90304717494</v>
      </c>
      <c r="D408" s="74">
        <v>60579.812099773029</v>
      </c>
      <c r="E408" s="74">
        <v>32193.079893599457</v>
      </c>
      <c r="F408" s="74">
        <v>33007.212188202102</v>
      </c>
      <c r="G408" s="74">
        <v>11787.992771250609</v>
      </c>
      <c r="H408" s="74">
        <v>247230.00000000058</v>
      </c>
    </row>
    <row r="409" spans="1:8" hidden="1" x14ac:dyDescent="0.45">
      <c r="A409" s="77" t="s">
        <v>745</v>
      </c>
      <c r="B409" s="80"/>
      <c r="C409" s="74">
        <v>117671.38597257908</v>
      </c>
      <c r="D409" s="74">
        <v>68685.744125844576</v>
      </c>
      <c r="E409" s="74">
        <v>62353.524687273537</v>
      </c>
      <c r="F409" s="74">
        <v>72528.734947098477</v>
      </c>
      <c r="G409" s="74">
        <v>40835.610267204378</v>
      </c>
      <c r="H409" s="74">
        <v>362075.00000000163</v>
      </c>
    </row>
    <row r="410" spans="1:8" hidden="1" x14ac:dyDescent="0.45">
      <c r="A410" s="77" t="s">
        <v>746</v>
      </c>
      <c r="B410" s="80"/>
      <c r="C410" s="74">
        <v>70717.69094786192</v>
      </c>
      <c r="D410" s="74">
        <v>61938.583618902943</v>
      </c>
      <c r="E410" s="74">
        <v>68204.43143846796</v>
      </c>
      <c r="F410" s="74">
        <v>88624.285824092571</v>
      </c>
      <c r="G410" s="74">
        <v>54236.008170674577</v>
      </c>
      <c r="H410" s="74">
        <v>343720.99999999971</v>
      </c>
    </row>
    <row r="411" spans="1:8" hidden="1" x14ac:dyDescent="0.45">
      <c r="A411" s="77" t="s">
        <v>747</v>
      </c>
      <c r="B411" s="80"/>
      <c r="C411" s="74">
        <v>54199.499923073126</v>
      </c>
      <c r="D411" s="74">
        <v>53334.817383036068</v>
      </c>
      <c r="E411" s="74">
        <v>29874.696232004593</v>
      </c>
      <c r="F411" s="74">
        <v>18710.521731143508</v>
      </c>
      <c r="G411" s="74">
        <v>19695.464730742795</v>
      </c>
      <c r="H411" s="74">
        <v>175814.99999999965</v>
      </c>
    </row>
    <row r="412" spans="1:8" hidden="1" x14ac:dyDescent="0.45">
      <c r="A412" s="77" t="s">
        <v>748</v>
      </c>
      <c r="B412" s="80"/>
      <c r="C412" s="74">
        <v>392118.13742087106</v>
      </c>
      <c r="D412" s="74">
        <v>127163.23362658336</v>
      </c>
      <c r="E412" s="74">
        <v>89748.499594434863</v>
      </c>
      <c r="F412" s="74">
        <v>94383.546449360496</v>
      </c>
      <c r="G412" s="74">
        <v>57292.582908750628</v>
      </c>
      <c r="H412" s="74">
        <v>760705.99999999907</v>
      </c>
    </row>
    <row r="413" spans="1:8" hidden="1" x14ac:dyDescent="0.45">
      <c r="A413" s="77" t="s">
        <v>749</v>
      </c>
      <c r="B413" s="80"/>
      <c r="C413" s="74">
        <v>109926.5763057039</v>
      </c>
      <c r="D413" s="74">
        <v>31915.836802431979</v>
      </c>
      <c r="E413" s="74">
        <v>30309.825837434746</v>
      </c>
      <c r="F413" s="74">
        <v>31158.711173931712</v>
      </c>
      <c r="G413" s="74">
        <v>26799.049880497874</v>
      </c>
      <c r="H413" s="74">
        <v>230110.0000000007</v>
      </c>
    </row>
    <row r="414" spans="1:8" hidden="1" x14ac:dyDescent="0.45">
      <c r="A414" s="77" t="s">
        <v>750</v>
      </c>
      <c r="B414" s="80"/>
      <c r="C414" s="74">
        <v>89713.592700011461</v>
      </c>
      <c r="D414" s="74">
        <v>90877.712776532062</v>
      </c>
      <c r="E414" s="74">
        <v>74701.224068366297</v>
      </c>
      <c r="F414" s="74">
        <v>104240.50119659636</v>
      </c>
      <c r="G414" s="74">
        <v>49564.969258494093</v>
      </c>
      <c r="H414" s="74">
        <v>409097.99999999866</v>
      </c>
    </row>
    <row r="415" spans="1:8" hidden="1" x14ac:dyDescent="0.45">
      <c r="A415" s="77" t="s">
        <v>751</v>
      </c>
      <c r="B415" s="80"/>
      <c r="C415" s="74">
        <v>67710.4249683097</v>
      </c>
      <c r="D415" s="74">
        <v>84333.738094036307</v>
      </c>
      <c r="E415" s="74">
        <v>57859.176653790695</v>
      </c>
      <c r="F415" s="74">
        <v>64527.528861886596</v>
      </c>
      <c r="G415" s="74">
        <v>31859.13142197661</v>
      </c>
      <c r="H415" s="74">
        <v>306290</v>
      </c>
    </row>
    <row r="416" spans="1:8" hidden="1" x14ac:dyDescent="0.45">
      <c r="A416" s="77" t="s">
        <v>752</v>
      </c>
      <c r="B416" s="80"/>
      <c r="C416" s="74">
        <v>117162.80362656903</v>
      </c>
      <c r="D416" s="74">
        <v>109986.30592206444</v>
      </c>
      <c r="E416" s="74">
        <v>66980.360981093225</v>
      </c>
      <c r="F416" s="74">
        <v>59838.173551796273</v>
      </c>
      <c r="G416" s="74">
        <v>30676.355918477082</v>
      </c>
      <c r="H416" s="74">
        <v>384644.00000000093</v>
      </c>
    </row>
    <row r="417" spans="1:8" hidden="1" x14ac:dyDescent="0.45">
      <c r="A417" s="77" t="s">
        <v>753</v>
      </c>
      <c r="B417" s="80"/>
      <c r="C417" s="74">
        <v>84721.465933861546</v>
      </c>
      <c r="D417" s="74">
        <v>36169.652329820521</v>
      </c>
      <c r="E417" s="74">
        <v>38039.984902563076</v>
      </c>
      <c r="F417" s="74">
        <v>36103.465584724639</v>
      </c>
      <c r="G417" s="74">
        <v>17519.431249030378</v>
      </c>
      <c r="H417" s="74">
        <v>212554.00000000055</v>
      </c>
    </row>
    <row r="418" spans="1:8" hidden="1" x14ac:dyDescent="0.45">
      <c r="A418" s="77" t="s">
        <v>754</v>
      </c>
      <c r="B418" s="80"/>
      <c r="C418" s="74">
        <v>176388.65389073236</v>
      </c>
      <c r="D418" s="74">
        <v>78920.838911874307</v>
      </c>
      <c r="E418" s="74">
        <v>51131.978468923196</v>
      </c>
      <c r="F418" s="74">
        <v>52601.395288814369</v>
      </c>
      <c r="G418" s="74">
        <v>16072.133439655512</v>
      </c>
      <c r="H418" s="74">
        <v>375115.0000000014</v>
      </c>
    </row>
    <row r="419" spans="1:8" hidden="1" x14ac:dyDescent="0.45">
      <c r="A419" s="77" t="s">
        <v>755</v>
      </c>
      <c r="B419" s="80"/>
      <c r="C419" s="74">
        <v>115403.57565927495</v>
      </c>
      <c r="D419" s="74">
        <v>45747.706542887216</v>
      </c>
      <c r="E419" s="74">
        <v>32556.096138579465</v>
      </c>
      <c r="F419" s="74">
        <v>35720.952182793269</v>
      </c>
      <c r="G419" s="74">
        <v>12789.66947646494</v>
      </c>
      <c r="H419" s="74">
        <v>242218</v>
      </c>
    </row>
    <row r="420" spans="1:8" hidden="1" x14ac:dyDescent="0.45">
      <c r="A420" s="77" t="s">
        <v>756</v>
      </c>
      <c r="B420" s="80"/>
      <c r="C420" s="74">
        <v>88358.043003883038</v>
      </c>
      <c r="D420" s="74">
        <v>65405.770317410126</v>
      </c>
      <c r="E420" s="74">
        <v>68405.244870813534</v>
      </c>
      <c r="F420" s="74">
        <v>66939.252575134684</v>
      </c>
      <c r="G420" s="74">
        <v>32966.689232758625</v>
      </c>
      <c r="H420" s="74">
        <v>322074.99999999924</v>
      </c>
    </row>
    <row r="421" spans="1:8" hidden="1" x14ac:dyDescent="0.45">
      <c r="A421" s="77" t="s">
        <v>757</v>
      </c>
      <c r="B421" s="80"/>
      <c r="C421" s="74">
        <v>102304.78036573197</v>
      </c>
      <c r="D421" s="74">
        <v>50750.627410403154</v>
      </c>
      <c r="E421" s="74">
        <v>40232.856984788996</v>
      </c>
      <c r="F421" s="74">
        <v>64053.559276321721</v>
      </c>
      <c r="G421" s="74">
        <v>54170.17596275422</v>
      </c>
      <c r="H421" s="74">
        <v>311512.00000000017</v>
      </c>
    </row>
    <row r="422" spans="1:8" hidden="1" x14ac:dyDescent="0.45">
      <c r="A422" s="77" t="s">
        <v>758</v>
      </c>
      <c r="B422" s="80"/>
      <c r="C422" s="74">
        <v>93809.736179363681</v>
      </c>
      <c r="D422" s="74">
        <v>50486.794559656977</v>
      </c>
      <c r="E422" s="74">
        <v>41179.931692709069</v>
      </c>
      <c r="F422" s="74">
        <v>35549.566824069007</v>
      </c>
      <c r="G422" s="74">
        <v>19291.970744201069</v>
      </c>
      <c r="H422" s="74">
        <v>240318.00000000006</v>
      </c>
    </row>
    <row r="423" spans="1:8" hidden="1" x14ac:dyDescent="0.45">
      <c r="A423" s="77" t="s">
        <v>759</v>
      </c>
      <c r="B423" s="80"/>
      <c r="C423" s="74">
        <v>322799.03508438368</v>
      </c>
      <c r="D423" s="74">
        <v>284245.0206185499</v>
      </c>
      <c r="E423" s="74">
        <v>244206.93055574174</v>
      </c>
      <c r="F423" s="74">
        <v>287878.77353190555</v>
      </c>
      <c r="G423" s="74">
        <v>445092.24020941975</v>
      </c>
      <c r="H423" s="74">
        <v>1584222.0000000095</v>
      </c>
    </row>
    <row r="424" spans="1:8" hidden="1" x14ac:dyDescent="0.45">
      <c r="A424" s="77" t="s">
        <v>760</v>
      </c>
      <c r="B424" s="80"/>
      <c r="C424" s="74">
        <v>34704.976532687971</v>
      </c>
      <c r="D424" s="74">
        <v>30850.781784918123</v>
      </c>
      <c r="E424" s="74">
        <v>24798.654563970686</v>
      </c>
      <c r="F424" s="74">
        <v>30309.218859325727</v>
      </c>
      <c r="G424" s="74">
        <v>28663.368259097446</v>
      </c>
      <c r="H424" s="74">
        <v>149326.99999999988</v>
      </c>
    </row>
    <row r="425" spans="1:8" hidden="1" x14ac:dyDescent="0.45">
      <c r="A425" s="77" t="s">
        <v>761</v>
      </c>
      <c r="B425" s="80"/>
      <c r="C425" s="74">
        <v>35669.433167574534</v>
      </c>
      <c r="D425" s="74">
        <v>48091.177825084997</v>
      </c>
      <c r="E425" s="74">
        <v>25253.926069050329</v>
      </c>
      <c r="F425" s="74">
        <v>41632.769109204077</v>
      </c>
      <c r="G425" s="74">
        <v>42541.693829086187</v>
      </c>
      <c r="H425" s="74">
        <v>193189.00000000111</v>
      </c>
    </row>
    <row r="426" spans="1:8" hidden="1" x14ac:dyDescent="0.45">
      <c r="A426" s="77" t="s">
        <v>762</v>
      </c>
      <c r="B426" s="80"/>
      <c r="C426" s="74">
        <v>61421.588985389601</v>
      </c>
      <c r="D426" s="74">
        <v>14835.244089330859</v>
      </c>
      <c r="E426" s="74">
        <v>13335.539499848992</v>
      </c>
      <c r="F426" s="74">
        <v>10991.965439792559</v>
      </c>
      <c r="G426" s="74">
        <v>2209.6619856378993</v>
      </c>
      <c r="H426" s="74">
        <v>102794.00000000061</v>
      </c>
    </row>
    <row r="427" spans="1:8" hidden="1" x14ac:dyDescent="0.45">
      <c r="A427" s="77" t="s">
        <v>763</v>
      </c>
      <c r="B427" s="80"/>
      <c r="C427" s="74">
        <v>144635.40420090221</v>
      </c>
      <c r="D427" s="74">
        <v>35074.316246394497</v>
      </c>
      <c r="E427" s="74">
        <v>21466.831840319643</v>
      </c>
      <c r="F427" s="74">
        <v>18914.507944702716</v>
      </c>
      <c r="G427" s="74">
        <v>8972.9397676811786</v>
      </c>
      <c r="H427" s="74">
        <v>229064.00000000084</v>
      </c>
    </row>
    <row r="428" spans="1:8" hidden="1" x14ac:dyDescent="0.45">
      <c r="A428" s="77" t="s">
        <v>764</v>
      </c>
      <c r="B428" s="80"/>
      <c r="C428" s="74">
        <v>64867.261643114049</v>
      </c>
      <c r="D428" s="74">
        <v>54472.260418609425</v>
      </c>
      <c r="E428" s="74">
        <v>47021.75796119382</v>
      </c>
      <c r="F428" s="74">
        <v>59238.048645720999</v>
      </c>
      <c r="G428" s="74">
        <v>28447.671331361751</v>
      </c>
      <c r="H428" s="74">
        <v>254047.00000000067</v>
      </c>
    </row>
    <row r="429" spans="1:8" hidden="1" x14ac:dyDescent="0.45">
      <c r="A429" s="77" t="s">
        <v>765</v>
      </c>
      <c r="B429" s="80"/>
      <c r="C429" s="74">
        <v>76308.953681946441</v>
      </c>
      <c r="D429" s="74">
        <v>47422.054606733669</v>
      </c>
      <c r="E429" s="74">
        <v>57612.873112662499</v>
      </c>
      <c r="F429" s="74">
        <v>67389.378661910174</v>
      </c>
      <c r="G429" s="74">
        <v>30510.73993674737</v>
      </c>
      <c r="H429" s="74">
        <v>279244.00000000047</v>
      </c>
    </row>
    <row r="430" spans="1:8" hidden="1" x14ac:dyDescent="0.45">
      <c r="A430" s="77" t="s">
        <v>766</v>
      </c>
      <c r="B430" s="80"/>
      <c r="C430" s="74">
        <v>132192.01450381777</v>
      </c>
      <c r="D430" s="74">
        <v>76645.448538355849</v>
      </c>
      <c r="E430" s="74">
        <v>50328.066181042428</v>
      </c>
      <c r="F430" s="74">
        <v>48179.769412537062</v>
      </c>
      <c r="G430" s="74">
        <v>19677.701364246437</v>
      </c>
      <c r="H430" s="74">
        <v>327023.00000000052</v>
      </c>
    </row>
    <row r="431" spans="1:8" hidden="1" x14ac:dyDescent="0.45">
      <c r="A431" s="77" t="s">
        <v>767</v>
      </c>
      <c r="B431" s="80"/>
      <c r="C431" s="74">
        <v>70276.462243421061</v>
      </c>
      <c r="D431" s="74">
        <v>40677.173441052772</v>
      </c>
      <c r="E431" s="74">
        <v>29501.22428145133</v>
      </c>
      <c r="F431" s="74">
        <v>35721.733370782546</v>
      </c>
      <c r="G431" s="74">
        <v>14972.406663292069</v>
      </c>
      <c r="H431" s="74">
        <v>191149.0000000014</v>
      </c>
    </row>
    <row r="432" spans="1:8" hidden="1" x14ac:dyDescent="0.45">
      <c r="A432" s="77" t="s">
        <v>768</v>
      </c>
      <c r="B432" s="80"/>
      <c r="C432" s="74">
        <v>36779.503344594217</v>
      </c>
      <c r="D432" s="74">
        <v>21269.983087128807</v>
      </c>
      <c r="E432" s="74">
        <v>19212.958561658557</v>
      </c>
      <c r="F432" s="74">
        <v>17398.771618507712</v>
      </c>
      <c r="G432" s="74">
        <v>8898.7833881107617</v>
      </c>
      <c r="H432" s="74">
        <v>103560.00000000009</v>
      </c>
    </row>
    <row r="433" spans="1:8" hidden="1" x14ac:dyDescent="0.45">
      <c r="A433" s="77" t="s">
        <v>769</v>
      </c>
      <c r="B433" s="80"/>
      <c r="C433" s="74">
        <v>38868.146955662764</v>
      </c>
      <c r="D433" s="74">
        <v>33976.444853292895</v>
      </c>
      <c r="E433" s="74">
        <v>26985.065772322017</v>
      </c>
      <c r="F433" s="74">
        <v>36818.891165331013</v>
      </c>
      <c r="G433" s="74">
        <v>23841.451253391391</v>
      </c>
      <c r="H433" s="74">
        <v>160489.99999999994</v>
      </c>
    </row>
    <row r="434" spans="1:8" hidden="1" x14ac:dyDescent="0.45">
      <c r="A434" s="77" t="s">
        <v>770</v>
      </c>
      <c r="B434" s="80"/>
      <c r="C434" s="74">
        <v>30040.872662638427</v>
      </c>
      <c r="D434" s="74">
        <v>14286.908236502179</v>
      </c>
      <c r="E434" s="74">
        <v>10279.861391864471</v>
      </c>
      <c r="F434" s="74">
        <v>7158.2052726800348</v>
      </c>
      <c r="G434" s="74">
        <v>2864.1524363148374</v>
      </c>
      <c r="H434" s="74">
        <v>64629.999999999993</v>
      </c>
    </row>
    <row r="435" spans="1:8" hidden="1" x14ac:dyDescent="0.45">
      <c r="A435" s="77" t="s">
        <v>771</v>
      </c>
      <c r="B435" s="80"/>
      <c r="C435" s="74">
        <v>14801.504547465338</v>
      </c>
      <c r="D435" s="74">
        <v>10017.76792608329</v>
      </c>
      <c r="E435" s="74">
        <v>7872.3061368749241</v>
      </c>
      <c r="F435" s="74">
        <v>18565.368610151439</v>
      </c>
      <c r="G435" s="74">
        <v>15587.052779424967</v>
      </c>
      <c r="H435" s="74">
        <v>66844.000000000262</v>
      </c>
    </row>
    <row r="436" spans="1:8" hidden="1" x14ac:dyDescent="0.45">
      <c r="A436" s="77" t="s">
        <v>772</v>
      </c>
      <c r="B436" s="80"/>
      <c r="C436" s="74">
        <v>58805.624334076732</v>
      </c>
      <c r="D436" s="74">
        <v>34491.694865329766</v>
      </c>
      <c r="E436" s="74">
        <v>17076.270838550558</v>
      </c>
      <c r="F436" s="74">
        <v>19173.739796300157</v>
      </c>
      <c r="G436" s="74">
        <v>15830.670165742707</v>
      </c>
      <c r="H436" s="74">
        <v>145378.00000000029</v>
      </c>
    </row>
    <row r="437" spans="1:8" hidden="1" x14ac:dyDescent="0.45">
      <c r="A437" s="77" t="s">
        <v>773</v>
      </c>
      <c r="B437" s="80"/>
      <c r="C437" s="74">
        <v>10896.401025101615</v>
      </c>
      <c r="D437" s="74">
        <v>7534.3132767503539</v>
      </c>
      <c r="E437" s="74">
        <v>5469.0603703910901</v>
      </c>
      <c r="F437" s="74">
        <v>7494.4407440493751</v>
      </c>
      <c r="G437" s="74">
        <v>2780.7845837075706</v>
      </c>
      <c r="H437" s="74">
        <v>34174.999999999949</v>
      </c>
    </row>
    <row r="438" spans="1:8" hidden="1" x14ac:dyDescent="0.45">
      <c r="A438" s="77" t="s">
        <v>774</v>
      </c>
      <c r="B438" s="80"/>
      <c r="C438" s="74">
        <v>48301.058451065976</v>
      </c>
      <c r="D438" s="74">
        <v>17688.717630511135</v>
      </c>
      <c r="E438" s="74">
        <v>7059.2005862068117</v>
      </c>
      <c r="F438" s="74">
        <v>8724.0563774177845</v>
      </c>
      <c r="G438" s="74">
        <v>2416.966954798334</v>
      </c>
      <c r="H438" s="74">
        <v>84190.00000000048</v>
      </c>
    </row>
    <row r="439" spans="1:8" hidden="1" x14ac:dyDescent="0.45">
      <c r="A439" s="77" t="s">
        <v>775</v>
      </c>
      <c r="B439" s="80"/>
      <c r="C439" s="74">
        <v>59934.889894805412</v>
      </c>
      <c r="D439" s="74">
        <v>16600.240871350285</v>
      </c>
      <c r="E439" s="74">
        <v>8592.6912735415808</v>
      </c>
      <c r="F439" s="74">
        <v>5773.2347556179648</v>
      </c>
      <c r="G439" s="74">
        <v>2783.943204684726</v>
      </c>
      <c r="H439" s="74">
        <v>93685</v>
      </c>
    </row>
    <row r="440" spans="1:8" hidden="1" x14ac:dyDescent="0.45">
      <c r="A440" s="77" t="s">
        <v>776</v>
      </c>
      <c r="B440" s="80"/>
      <c r="C440" s="74">
        <v>52693.750419293654</v>
      </c>
      <c r="D440" s="74">
        <v>13504.427708821586</v>
      </c>
      <c r="E440" s="74">
        <v>8039.7930882829578</v>
      </c>
      <c r="F440" s="74">
        <v>4725.714590368405</v>
      </c>
      <c r="G440" s="74">
        <v>1467.314193233309</v>
      </c>
      <c r="H440" s="74">
        <v>80430.999999999738</v>
      </c>
    </row>
    <row r="441" spans="1:8" hidden="1" x14ac:dyDescent="0.45">
      <c r="A441" s="77" t="s">
        <v>777</v>
      </c>
      <c r="B441" s="80"/>
      <c r="C441" s="74">
        <v>90832.618458755562</v>
      </c>
      <c r="D441" s="74">
        <v>74656.692927120064</v>
      </c>
      <c r="E441" s="74">
        <v>67846.2827995267</v>
      </c>
      <c r="F441" s="74">
        <v>68125.846382666656</v>
      </c>
      <c r="G441" s="74">
        <v>118049.55943193115</v>
      </c>
      <c r="H441" s="74">
        <v>419511.00000000052</v>
      </c>
    </row>
    <row r="442" spans="1:8" hidden="1" x14ac:dyDescent="0.45">
      <c r="A442" s="77" t="s">
        <v>778</v>
      </c>
      <c r="B442" s="80"/>
      <c r="C442" s="74">
        <v>78629.949066097121</v>
      </c>
      <c r="D442" s="74">
        <v>32124.253394105886</v>
      </c>
      <c r="E442" s="74">
        <v>22417.919268339156</v>
      </c>
      <c r="F442" s="74">
        <v>22373.02311323044</v>
      </c>
      <c r="G442" s="74">
        <v>20870.85515822754</v>
      </c>
      <c r="H442" s="74">
        <v>176415.99999999901</v>
      </c>
    </row>
    <row r="443" spans="1:8" hidden="1" x14ac:dyDescent="0.45">
      <c r="A443" s="77" t="s">
        <v>779</v>
      </c>
      <c r="B443" s="80"/>
      <c r="C443" s="74">
        <v>79980.984114907566</v>
      </c>
      <c r="D443" s="74">
        <v>29482.932580073713</v>
      </c>
      <c r="E443" s="74">
        <v>21928.025677014848</v>
      </c>
      <c r="F443" s="74">
        <v>23187.281000009425</v>
      </c>
      <c r="G443" s="74">
        <v>19139.776627994404</v>
      </c>
      <c r="H443" s="74">
        <v>173718.99999999985</v>
      </c>
    </row>
    <row r="444" spans="1:8" hidden="1" x14ac:dyDescent="0.45">
      <c r="A444" s="77" t="s">
        <v>780</v>
      </c>
      <c r="B444" s="80"/>
      <c r="C444" s="74">
        <v>151331.04094030045</v>
      </c>
      <c r="D444" s="74">
        <v>68780.008115846984</v>
      </c>
      <c r="E444" s="74">
        <v>48998.867454965606</v>
      </c>
      <c r="F444" s="74">
        <v>44671.992689139814</v>
      </c>
      <c r="G444" s="74">
        <v>62842.090799747239</v>
      </c>
      <c r="H444" s="74">
        <v>376624.00000000006</v>
      </c>
    </row>
    <row r="445" spans="1:8" hidden="1" x14ac:dyDescent="0.45">
      <c r="A445" s="77" t="s">
        <v>781</v>
      </c>
      <c r="B445" s="80"/>
      <c r="C445" s="74">
        <v>94120.678938925572</v>
      </c>
      <c r="D445" s="74">
        <v>30457.812011931437</v>
      </c>
      <c r="E445" s="74">
        <v>14584.563047902266</v>
      </c>
      <c r="F445" s="74">
        <v>16346.62878299558</v>
      </c>
      <c r="G445" s="74">
        <v>11055.317218244831</v>
      </c>
      <c r="H445" s="74">
        <v>166565.00000000044</v>
      </c>
    </row>
    <row r="446" spans="1:8" hidden="1" x14ac:dyDescent="0.45">
      <c r="A446" s="77" t="s">
        <v>782</v>
      </c>
      <c r="B446" s="80"/>
      <c r="C446" s="74">
        <v>67285.175266443941</v>
      </c>
      <c r="D446" s="74">
        <v>36433.774052948625</v>
      </c>
      <c r="E446" s="74">
        <v>20353.698166816768</v>
      </c>
      <c r="F446" s="74">
        <v>16255.265167244737</v>
      </c>
      <c r="G446" s="74">
        <v>19017.087346545843</v>
      </c>
      <c r="H446" s="74">
        <v>159344.99999999974</v>
      </c>
    </row>
    <row r="447" spans="1:8" hidden="1" x14ac:dyDescent="0.45">
      <c r="A447" s="77" t="s">
        <v>783</v>
      </c>
      <c r="B447" s="80"/>
      <c r="C447" s="74">
        <v>54443.476296782879</v>
      </c>
      <c r="D447" s="74">
        <v>16454.204717099004</v>
      </c>
      <c r="E447" s="74">
        <v>10755.154610144917</v>
      </c>
      <c r="F447" s="74">
        <v>15628.788339390187</v>
      </c>
      <c r="G447" s="74">
        <v>15237.376036583195</v>
      </c>
      <c r="H447" s="74">
        <v>112519.00000000038</v>
      </c>
    </row>
    <row r="448" spans="1:8" hidden="1" x14ac:dyDescent="0.45">
      <c r="A448" s="77" t="s">
        <v>784</v>
      </c>
      <c r="B448" s="80"/>
      <c r="C448" s="74">
        <v>53670.658524397368</v>
      </c>
      <c r="D448" s="74">
        <v>32412.189484977003</v>
      </c>
      <c r="E448" s="74">
        <v>40567.69297832415</v>
      </c>
      <c r="F448" s="74">
        <v>48350.918247198715</v>
      </c>
      <c r="G448" s="74">
        <v>48497.540765102742</v>
      </c>
      <c r="H448" s="74">
        <v>223499.00000000049</v>
      </c>
    </row>
    <row r="449" spans="1:8" hidden="1" x14ac:dyDescent="0.45">
      <c r="A449" s="77" t="s">
        <v>785</v>
      </c>
      <c r="B449" s="80"/>
      <c r="C449" s="74">
        <v>92471.673966886752</v>
      </c>
      <c r="D449" s="74">
        <v>32607.079593833918</v>
      </c>
      <c r="E449" s="74">
        <v>26792.073014435482</v>
      </c>
      <c r="F449" s="74">
        <v>16536.248248632255</v>
      </c>
      <c r="G449" s="74">
        <v>9106.9251762116401</v>
      </c>
      <c r="H449" s="74">
        <v>177513.99999999997</v>
      </c>
    </row>
    <row r="450" spans="1:8" hidden="1" x14ac:dyDescent="0.45">
      <c r="A450" s="77" t="s">
        <v>786</v>
      </c>
      <c r="B450" s="80"/>
      <c r="C450" s="74">
        <v>194737.90630738859</v>
      </c>
      <c r="D450" s="74">
        <v>111300.42701806294</v>
      </c>
      <c r="E450" s="74">
        <v>71406.702787509756</v>
      </c>
      <c r="F450" s="74">
        <v>47232.579304552011</v>
      </c>
      <c r="G450" s="74">
        <v>22498.384582486637</v>
      </c>
      <c r="H450" s="74">
        <v>447176.00000000006</v>
      </c>
    </row>
    <row r="451" spans="1:8" hidden="1" x14ac:dyDescent="0.45">
      <c r="A451" s="77" t="s">
        <v>787</v>
      </c>
      <c r="B451" s="80"/>
      <c r="C451" s="74">
        <v>105679.70165415997</v>
      </c>
      <c r="D451" s="74">
        <v>23190.022664124481</v>
      </c>
      <c r="E451" s="74">
        <v>20352.808016730007</v>
      </c>
      <c r="F451" s="74">
        <v>8165.2534228703153</v>
      </c>
      <c r="G451" s="74">
        <v>7413.2142421149774</v>
      </c>
      <c r="H451" s="74">
        <v>164801.00000000017</v>
      </c>
    </row>
    <row r="452" spans="1:8" hidden="1" x14ac:dyDescent="0.45">
      <c r="A452" s="77" t="s">
        <v>788</v>
      </c>
      <c r="B452" s="80"/>
      <c r="C452" s="74">
        <v>137939.28769778195</v>
      </c>
      <c r="D452" s="74">
        <v>53145.19303321273</v>
      </c>
      <c r="E452" s="74">
        <v>58354.387498281547</v>
      </c>
      <c r="F452" s="74">
        <v>33395.978827060404</v>
      </c>
      <c r="G452" s="74">
        <v>27713.152943662801</v>
      </c>
      <c r="H452" s="74">
        <v>310547.9999999993</v>
      </c>
    </row>
    <row r="453" spans="1:8" hidden="1" x14ac:dyDescent="0.45">
      <c r="A453" s="77" t="s">
        <v>789</v>
      </c>
      <c r="B453" s="80"/>
      <c r="C453" s="74">
        <v>46510.875769879625</v>
      </c>
      <c r="D453" s="74">
        <v>36923.226318243098</v>
      </c>
      <c r="E453" s="74">
        <v>33658.738005885258</v>
      </c>
      <c r="F453" s="74">
        <v>49139.586114817168</v>
      </c>
      <c r="G453" s="74">
        <v>20523.5737911748</v>
      </c>
      <c r="H453" s="74">
        <v>186755.99999999956</v>
      </c>
    </row>
    <row r="454" spans="1:8" hidden="1" x14ac:dyDescent="0.45">
      <c r="A454" s="77" t="s">
        <v>790</v>
      </c>
      <c r="B454" s="80"/>
      <c r="C454" s="74">
        <v>50699.498442321259</v>
      </c>
      <c r="D454" s="74">
        <v>32154.084066317933</v>
      </c>
      <c r="E454" s="74">
        <v>25109.40372169072</v>
      </c>
      <c r="F454" s="74">
        <v>19894.969317964235</v>
      </c>
      <c r="G454" s="74">
        <v>14035.044451705964</v>
      </c>
      <c r="H454" s="74">
        <v>141892.99999999994</v>
      </c>
    </row>
    <row r="455" spans="1:8" hidden="1" x14ac:dyDescent="0.45">
      <c r="A455" s="77" t="s">
        <v>791</v>
      </c>
      <c r="B455" s="80"/>
      <c r="C455" s="74">
        <v>50761.427147638613</v>
      </c>
      <c r="D455" s="74">
        <v>30260.447147470117</v>
      </c>
      <c r="E455" s="74">
        <v>16383.235554004437</v>
      </c>
      <c r="F455" s="74">
        <v>10937.92289073507</v>
      </c>
      <c r="G455" s="74">
        <v>4592.967260151624</v>
      </c>
      <c r="H455" s="74">
        <v>112936.0000000002</v>
      </c>
    </row>
    <row r="456" spans="1:8" hidden="1" x14ac:dyDescent="0.45">
      <c r="A456" s="77" t="s">
        <v>792</v>
      </c>
      <c r="B456" s="80"/>
      <c r="C456" s="74">
        <v>23773.542652730684</v>
      </c>
      <c r="D456" s="74">
        <v>29470.490630883596</v>
      </c>
      <c r="E456" s="74">
        <v>27829.743498594074</v>
      </c>
      <c r="F456" s="74">
        <v>15003.633747500329</v>
      </c>
      <c r="G456" s="74">
        <v>4972.5894702913483</v>
      </c>
      <c r="H456" s="74">
        <v>101050.00000000003</v>
      </c>
    </row>
    <row r="457" spans="1:8" hidden="1" x14ac:dyDescent="0.45">
      <c r="A457" s="77" t="s">
        <v>793</v>
      </c>
      <c r="B457" s="80"/>
      <c r="C457" s="74">
        <v>86187.403912706635</v>
      </c>
      <c r="D457" s="74">
        <v>86171.79309085921</v>
      </c>
      <c r="E457" s="74">
        <v>109517.47284001108</v>
      </c>
      <c r="F457" s="74">
        <v>68410.368112109645</v>
      </c>
      <c r="G457" s="74">
        <v>26485.962044313117</v>
      </c>
      <c r="H457" s="74">
        <v>376772.99999999959</v>
      </c>
    </row>
    <row r="458" spans="1:8" hidden="1" x14ac:dyDescent="0.45">
      <c r="A458" s="77" t="s">
        <v>794</v>
      </c>
      <c r="B458" s="80"/>
      <c r="C458" s="74">
        <v>37025.378118415916</v>
      </c>
      <c r="D458" s="74">
        <v>38166.178021626511</v>
      </c>
      <c r="E458" s="74">
        <v>36704.840965979558</v>
      </c>
      <c r="F458" s="74">
        <v>24793.796063848731</v>
      </c>
      <c r="G458" s="74">
        <v>15663.806830129233</v>
      </c>
      <c r="H458" s="74">
        <v>152353.99999999974</v>
      </c>
    </row>
    <row r="459" spans="1:8" hidden="1" x14ac:dyDescent="0.45">
      <c r="A459" s="77" t="s">
        <v>795</v>
      </c>
      <c r="B459" s="80"/>
      <c r="C459" s="74">
        <v>31221.358291496486</v>
      </c>
      <c r="D459" s="74">
        <v>22283.053101812711</v>
      </c>
      <c r="E459" s="74">
        <v>22199.359075879653</v>
      </c>
      <c r="F459" s="74">
        <v>13424.00636103254</v>
      </c>
      <c r="G459" s="74">
        <v>6418.2231697786883</v>
      </c>
      <c r="H459" s="74">
        <v>95546.000000000029</v>
      </c>
    </row>
    <row r="460" spans="1:8" hidden="1" x14ac:dyDescent="0.45">
      <c r="A460" s="77" t="s">
        <v>796</v>
      </c>
      <c r="B460" s="80"/>
      <c r="C460" s="74">
        <v>36521.907424039571</v>
      </c>
      <c r="D460" s="74">
        <v>62795.101178902623</v>
      </c>
      <c r="E460" s="74">
        <v>44899.543559879065</v>
      </c>
      <c r="F460" s="74">
        <v>22815.301683986563</v>
      </c>
      <c r="G460" s="74">
        <v>6554.1461531921195</v>
      </c>
      <c r="H460" s="74">
        <v>173585.99999999988</v>
      </c>
    </row>
    <row r="461" spans="1:8" hidden="1" x14ac:dyDescent="0.45">
      <c r="A461" s="77" t="s">
        <v>797</v>
      </c>
      <c r="B461" s="80"/>
      <c r="C461" s="74">
        <v>26640.26756361212</v>
      </c>
      <c r="D461" s="74">
        <v>41040.662411357938</v>
      </c>
      <c r="E461" s="74">
        <v>25765.772356589605</v>
      </c>
      <c r="F461" s="74">
        <v>14356.174895272501</v>
      </c>
      <c r="G461" s="74">
        <v>7279.1227731679191</v>
      </c>
      <c r="H461" s="74">
        <v>115081.99999999921</v>
      </c>
    </row>
    <row r="462" spans="1:8" hidden="1" x14ac:dyDescent="0.45">
      <c r="A462" s="77" t="s">
        <v>798</v>
      </c>
      <c r="B462" s="80"/>
      <c r="C462" s="74">
        <v>13446.619638703312</v>
      </c>
      <c r="D462" s="74">
        <v>28491.074219200451</v>
      </c>
      <c r="E462" s="74">
        <v>22686.697986316005</v>
      </c>
      <c r="F462" s="74">
        <v>7239.7877503887903</v>
      </c>
      <c r="G462" s="74">
        <v>1898.820405391474</v>
      </c>
      <c r="H462" s="74">
        <v>73763</v>
      </c>
    </row>
    <row r="463" spans="1:8" hidden="1" x14ac:dyDescent="0.45">
      <c r="A463" s="77" t="s">
        <v>799</v>
      </c>
      <c r="B463" s="80"/>
      <c r="C463" s="74">
        <v>28289.279907720869</v>
      </c>
      <c r="D463" s="74">
        <v>20810.286156022379</v>
      </c>
      <c r="E463" s="74">
        <v>10387.07897704248</v>
      </c>
      <c r="F463" s="74">
        <v>2416.2649474455461</v>
      </c>
      <c r="G463" s="74">
        <v>2018.090011768835</v>
      </c>
      <c r="H463" s="74">
        <v>63921.000000000109</v>
      </c>
    </row>
    <row r="464" spans="1:8" hidden="1" x14ac:dyDescent="0.45">
      <c r="A464" s="77" t="s">
        <v>800</v>
      </c>
      <c r="B464" s="80"/>
      <c r="C464" s="74">
        <v>19267.538490973428</v>
      </c>
      <c r="D464" s="74">
        <v>89278.496700170595</v>
      </c>
      <c r="E464" s="74">
        <v>169215.63945353558</v>
      </c>
      <c r="F464" s="74">
        <v>141636.04831105008</v>
      </c>
      <c r="G464" s="74">
        <v>73247.277044269838</v>
      </c>
      <c r="H464" s="74">
        <v>492645.00000000512</v>
      </c>
    </row>
    <row r="465" spans="1:8" hidden="1" x14ac:dyDescent="0.45">
      <c r="A465" s="77" t="s">
        <v>801</v>
      </c>
      <c r="B465" s="80"/>
      <c r="C465" s="74">
        <v>10772.162986489362</v>
      </c>
      <c r="D465" s="74">
        <v>23126.247336663248</v>
      </c>
      <c r="E465" s="74">
        <v>23136.611897422885</v>
      </c>
      <c r="F465" s="74">
        <v>14996.192229436256</v>
      </c>
      <c r="G465" s="74">
        <v>7297.7855499881944</v>
      </c>
      <c r="H465" s="74">
        <v>79328.999999999971</v>
      </c>
    </row>
    <row r="466" spans="1:8" hidden="1" x14ac:dyDescent="0.45">
      <c r="A466" s="77" t="s">
        <v>802</v>
      </c>
      <c r="B466" s="80"/>
      <c r="C466" s="74">
        <v>16342.565451948574</v>
      </c>
      <c r="D466" s="74">
        <v>34564.009610317764</v>
      </c>
      <c r="E466" s="74">
        <v>45137.492987961792</v>
      </c>
      <c r="F466" s="74">
        <v>15975.096928160992</v>
      </c>
      <c r="G466" s="74">
        <v>8505.8350216108465</v>
      </c>
      <c r="H466" s="74">
        <v>120525.00000000045</v>
      </c>
    </row>
    <row r="467" spans="1:8" hidden="1" x14ac:dyDescent="0.45">
      <c r="A467" s="77" t="s">
        <v>803</v>
      </c>
      <c r="B467" s="80"/>
      <c r="C467" s="74">
        <v>2608.6257362640927</v>
      </c>
      <c r="D467" s="74">
        <v>6985.7436010313095</v>
      </c>
      <c r="E467" s="74">
        <v>18597.458788264081</v>
      </c>
      <c r="F467" s="74">
        <v>12596.809997859174</v>
      </c>
      <c r="G467" s="74">
        <v>18141.361876581366</v>
      </c>
      <c r="H467" s="74">
        <v>58929.999999999869</v>
      </c>
    </row>
    <row r="468" spans="1:8" hidden="1" x14ac:dyDescent="0.45">
      <c r="A468" s="77" t="s">
        <v>804</v>
      </c>
      <c r="B468" s="80"/>
      <c r="C468" s="74">
        <v>41365.38677193685</v>
      </c>
      <c r="D468" s="74">
        <v>32838.414178858198</v>
      </c>
      <c r="E468" s="74">
        <v>20571.733400624766</v>
      </c>
      <c r="F468" s="74">
        <v>4892.8116885194413</v>
      </c>
      <c r="G468" s="74">
        <v>3833.6539600606534</v>
      </c>
      <c r="H468" s="74">
        <v>103501.99999999945</v>
      </c>
    </row>
    <row r="469" spans="1:8" hidden="1" x14ac:dyDescent="0.45">
      <c r="A469" s="77" t="s">
        <v>805</v>
      </c>
      <c r="B469" s="80"/>
      <c r="C469" s="74">
        <v>43240.080185273742</v>
      </c>
      <c r="D469" s="74">
        <v>85207.115336729039</v>
      </c>
      <c r="E469" s="74">
        <v>71756.10915725946</v>
      </c>
      <c r="F469" s="74">
        <v>27448.71111932956</v>
      </c>
      <c r="G469" s="74">
        <v>12860.984201408013</v>
      </c>
      <c r="H469" s="74">
        <v>240513.00000000099</v>
      </c>
    </row>
    <row r="470" spans="1:8" hidden="1" x14ac:dyDescent="0.45">
      <c r="A470" s="77" t="s">
        <v>806</v>
      </c>
      <c r="B470" s="80"/>
      <c r="C470" s="74">
        <v>35711.457775397044</v>
      </c>
      <c r="D470" s="74">
        <v>74283.730126348688</v>
      </c>
      <c r="E470" s="74">
        <v>45856.990920072247</v>
      </c>
      <c r="F470" s="74">
        <v>23002.341346996218</v>
      </c>
      <c r="G470" s="74">
        <v>20061.479831185654</v>
      </c>
      <c r="H470" s="74">
        <v>198916.00000000058</v>
      </c>
    </row>
    <row r="471" spans="1:8" hidden="1" x14ac:dyDescent="0.45">
      <c r="A471" s="77" t="s">
        <v>807</v>
      </c>
      <c r="B471" s="80"/>
      <c r="C471" s="74">
        <v>19814.623310865438</v>
      </c>
      <c r="D471" s="74">
        <v>30668.669989712835</v>
      </c>
      <c r="E471" s="74">
        <v>26138.036754084085</v>
      </c>
      <c r="F471" s="74">
        <v>12147.626086837017</v>
      </c>
      <c r="G471" s="74">
        <v>12187.04385850058</v>
      </c>
      <c r="H471" s="74">
        <v>100956.00000000042</v>
      </c>
    </row>
    <row r="472" spans="1:8" hidden="1" x14ac:dyDescent="0.45">
      <c r="A472" s="77" t="s">
        <v>808</v>
      </c>
      <c r="B472" s="80"/>
      <c r="C472" s="74">
        <v>13889.823679746289</v>
      </c>
      <c r="D472" s="74">
        <v>19444.240291057376</v>
      </c>
      <c r="E472" s="74">
        <v>18880.486273966239</v>
      </c>
      <c r="F472" s="74">
        <v>9412.2823611853273</v>
      </c>
      <c r="G472" s="74">
        <v>9198.167394044769</v>
      </c>
      <c r="H472" s="74">
        <v>70824.999999999811</v>
      </c>
    </row>
    <row r="473" spans="1:8" hidden="1" x14ac:dyDescent="0.45">
      <c r="A473" s="77" t="s">
        <v>809</v>
      </c>
      <c r="B473" s="80"/>
      <c r="C473" s="74">
        <v>12561.987303428763</v>
      </c>
      <c r="D473" s="74">
        <v>19672.924765047708</v>
      </c>
      <c r="E473" s="74">
        <v>13677.757808498322</v>
      </c>
      <c r="F473" s="74">
        <v>3892.2596217492992</v>
      </c>
      <c r="G473" s="74">
        <v>5283.0705012758754</v>
      </c>
      <c r="H473" s="74">
        <v>55088.000000000146</v>
      </c>
    </row>
    <row r="474" spans="1:8" hidden="1" x14ac:dyDescent="0.45">
      <c r="A474" s="77" t="s">
        <v>810</v>
      </c>
      <c r="B474" s="80"/>
      <c r="C474" s="74">
        <v>18145.756414799514</v>
      </c>
      <c r="D474" s="74">
        <v>37896.148647797068</v>
      </c>
      <c r="E474" s="74">
        <v>60651.435279152603</v>
      </c>
      <c r="F474" s="74">
        <v>64917.183116018714</v>
      </c>
      <c r="G474" s="74">
        <v>64842.47654223175</v>
      </c>
      <c r="H474" s="74">
        <v>246453.00000000355</v>
      </c>
    </row>
    <row r="475" spans="1:8" hidden="1" x14ac:dyDescent="0.45">
      <c r="A475" s="77" t="s">
        <v>811</v>
      </c>
      <c r="B475" s="80"/>
      <c r="C475" s="74">
        <v>6355.4582659070575</v>
      </c>
      <c r="D475" s="74">
        <v>22876.254303882804</v>
      </c>
      <c r="E475" s="74">
        <v>33975.086445245586</v>
      </c>
      <c r="F475" s="74">
        <v>20412.409524171188</v>
      </c>
      <c r="G475" s="74">
        <v>18375.791460793454</v>
      </c>
      <c r="H475" s="74">
        <v>101994.99999999993</v>
      </c>
    </row>
    <row r="476" spans="1:8" hidden="1" x14ac:dyDescent="0.45">
      <c r="A476" s="77" t="s">
        <v>812</v>
      </c>
      <c r="B476" s="80"/>
      <c r="C476" s="74">
        <v>18509.796623187591</v>
      </c>
      <c r="D476" s="74">
        <v>18378.289560831294</v>
      </c>
      <c r="E476" s="74">
        <v>15209.466664193813</v>
      </c>
      <c r="F476" s="74">
        <v>17595.355264267026</v>
      </c>
      <c r="G476" s="74">
        <v>13745.091887520161</v>
      </c>
      <c r="H476" s="74">
        <v>83438.000000000116</v>
      </c>
    </row>
    <row r="477" spans="1:8" hidden="1" x14ac:dyDescent="0.45">
      <c r="A477" s="77" t="s">
        <v>813</v>
      </c>
      <c r="B477" s="80"/>
      <c r="C477" s="74">
        <v>16971.765649904602</v>
      </c>
      <c r="D477" s="74">
        <v>11951.127909400064</v>
      </c>
      <c r="E477" s="74">
        <v>13774.030355119688</v>
      </c>
      <c r="F477" s="74">
        <v>12719.348061130653</v>
      </c>
      <c r="G477" s="74">
        <v>12529.728024445021</v>
      </c>
      <c r="H477" s="74">
        <v>67946.000000000451</v>
      </c>
    </row>
    <row r="478" spans="1:8" hidden="1" x14ac:dyDescent="0.45">
      <c r="A478" s="77" t="s">
        <v>814</v>
      </c>
      <c r="B478" s="80"/>
      <c r="C478" s="74">
        <v>11707.03367818167</v>
      </c>
      <c r="D478" s="74">
        <v>7318.8845684992721</v>
      </c>
      <c r="E478" s="74">
        <v>6138.8281199074063</v>
      </c>
      <c r="F478" s="74">
        <v>4867.6557422816322</v>
      </c>
      <c r="G478" s="74">
        <v>5411.5978911300499</v>
      </c>
      <c r="H478" s="74">
        <v>35443.999999999709</v>
      </c>
    </row>
    <row r="479" spans="1:8" hidden="1" x14ac:dyDescent="0.45">
      <c r="A479" s="77" t="s">
        <v>815</v>
      </c>
      <c r="B479" s="80"/>
      <c r="C479" s="74">
        <v>8429.9055211976065</v>
      </c>
      <c r="D479" s="74">
        <v>10772.670745978092</v>
      </c>
      <c r="E479" s="74">
        <v>11924.915910135134</v>
      </c>
      <c r="F479" s="74">
        <v>18158.812713069961</v>
      </c>
      <c r="G479" s="74">
        <v>20911.695109619275</v>
      </c>
      <c r="H479" s="74">
        <v>70197.999999999331</v>
      </c>
    </row>
    <row r="480" spans="1:8" hidden="1" x14ac:dyDescent="0.45">
      <c r="A480" s="77" t="s">
        <v>816</v>
      </c>
      <c r="B480" s="80"/>
      <c r="C480" s="74">
        <v>32849.541851929964</v>
      </c>
      <c r="D480" s="74">
        <v>19881.084820040182</v>
      </c>
      <c r="E480" s="74">
        <v>34079.7966174307</v>
      </c>
      <c r="F480" s="74">
        <v>43033.063769396591</v>
      </c>
      <c r="G480" s="74">
        <v>48182.512941202345</v>
      </c>
      <c r="H480" s="74">
        <v>178026.00000000047</v>
      </c>
    </row>
    <row r="481" spans="1:8" hidden="1" x14ac:dyDescent="0.45">
      <c r="A481" s="77" t="s">
        <v>817</v>
      </c>
      <c r="B481" s="80"/>
      <c r="C481" s="74">
        <v>21681.075997269669</v>
      </c>
      <c r="D481" s="74">
        <v>9328.1952217723701</v>
      </c>
      <c r="E481" s="74">
        <v>9136.0390681591834</v>
      </c>
      <c r="F481" s="74">
        <v>6026.103659879187</v>
      </c>
      <c r="G481" s="74">
        <v>5428.586052919607</v>
      </c>
      <c r="H481" s="74">
        <v>51600.000000000568</v>
      </c>
    </row>
    <row r="482" spans="1:8" hidden="1" x14ac:dyDescent="0.45">
      <c r="A482" s="77" t="s">
        <v>818</v>
      </c>
      <c r="B482" s="80"/>
      <c r="C482" s="74">
        <v>19445.636560394036</v>
      </c>
      <c r="D482" s="74">
        <v>14711.904440950435</v>
      </c>
      <c r="E482" s="74">
        <v>18984.026233395172</v>
      </c>
      <c r="F482" s="74">
        <v>22704.16875120264</v>
      </c>
      <c r="G482" s="74">
        <v>21865.264014057673</v>
      </c>
      <c r="H482" s="74">
        <v>97711.000000000247</v>
      </c>
    </row>
    <row r="483" spans="1:8" hidden="1" x14ac:dyDescent="0.45">
      <c r="A483" s="77" t="s">
        <v>819</v>
      </c>
      <c r="B483" s="80"/>
      <c r="C483" s="74">
        <v>17369.348067703013</v>
      </c>
      <c r="D483" s="74">
        <v>11601.901357651665</v>
      </c>
      <c r="E483" s="74">
        <v>9274.1108157527633</v>
      </c>
      <c r="F483" s="74">
        <v>6464.5847935203747</v>
      </c>
      <c r="G483" s="74">
        <v>6075.0549653720391</v>
      </c>
      <c r="H483" s="74">
        <v>50784.999999999724</v>
      </c>
    </row>
    <row r="484" spans="1:8" hidden="1" x14ac:dyDescent="0.45">
      <c r="A484" s="77" t="s">
        <v>820</v>
      </c>
      <c r="B484" s="80"/>
      <c r="C484" s="74">
        <v>7762.4801782223285</v>
      </c>
      <c r="D484" s="74">
        <v>3202.6669241293866</v>
      </c>
      <c r="E484" s="74">
        <v>2354.9533872973952</v>
      </c>
      <c r="F484" s="74">
        <v>1409.4676113415678</v>
      </c>
      <c r="G484" s="74">
        <v>1679.4318990093259</v>
      </c>
      <c r="H484" s="74">
        <v>16409.000000000025</v>
      </c>
    </row>
    <row r="485" spans="1:8" hidden="1" x14ac:dyDescent="0.45">
      <c r="A485" s="77" t="s">
        <v>821</v>
      </c>
      <c r="B485" s="80"/>
      <c r="C485" s="74">
        <v>5207.6745525448996</v>
      </c>
      <c r="D485" s="74">
        <v>7316.9024945679903</v>
      </c>
      <c r="E485" s="74">
        <v>8688.808134538991</v>
      </c>
      <c r="F485" s="74">
        <v>9738.3539410729627</v>
      </c>
      <c r="G485" s="74">
        <v>13864.260877275101</v>
      </c>
      <c r="H485" s="74">
        <v>44816.000000000284</v>
      </c>
    </row>
    <row r="486" spans="1:8" hidden="1" x14ac:dyDescent="0.45">
      <c r="A486" s="77" t="s">
        <v>822</v>
      </c>
      <c r="B486" s="80"/>
      <c r="C486" s="74">
        <v>6448.9556465676515</v>
      </c>
      <c r="D486" s="74">
        <v>5302.9240611946616</v>
      </c>
      <c r="E486" s="74">
        <v>4494.135786769948</v>
      </c>
      <c r="F486" s="74">
        <v>6327.1990244509343</v>
      </c>
      <c r="G486" s="74">
        <v>5095.7854810167291</v>
      </c>
      <c r="H486" s="74">
        <v>27669.000000000484</v>
      </c>
    </row>
    <row r="487" spans="1:8" hidden="1" x14ac:dyDescent="0.45">
      <c r="A487" s="77" t="s">
        <v>823</v>
      </c>
      <c r="B487" s="80"/>
      <c r="C487" s="74">
        <v>16759.761350178262</v>
      </c>
      <c r="D487" s="74">
        <v>8643.4469355666188</v>
      </c>
      <c r="E487" s="74">
        <v>4158.0932011417153</v>
      </c>
      <c r="F487" s="74">
        <v>3928.5823529389249</v>
      </c>
      <c r="G487" s="74">
        <v>2789.1161601746066</v>
      </c>
      <c r="H487" s="74">
        <v>36278.999999999964</v>
      </c>
    </row>
    <row r="488" spans="1:8" hidden="1" x14ac:dyDescent="0.45">
      <c r="A488" s="77" t="s">
        <v>824</v>
      </c>
      <c r="B488" s="80"/>
      <c r="C488" s="74">
        <v>32265.679624797165</v>
      </c>
      <c r="D488" s="74">
        <v>36587.18588252725</v>
      </c>
      <c r="E488" s="74">
        <v>63293.250884655732</v>
      </c>
      <c r="F488" s="74">
        <v>84215.968557518034</v>
      </c>
      <c r="G488" s="74">
        <v>72411.915050502037</v>
      </c>
      <c r="H488" s="74">
        <v>288774.00000000017</v>
      </c>
    </row>
    <row r="489" spans="1:8" hidden="1" x14ac:dyDescent="0.45">
      <c r="A489" s="77" t="s">
        <v>825</v>
      </c>
      <c r="B489" s="80"/>
      <c r="C489" s="74">
        <v>52884.179411682453</v>
      </c>
      <c r="D489" s="74">
        <v>24063.302127257673</v>
      </c>
      <c r="E489" s="74">
        <v>39397.017436338509</v>
      </c>
      <c r="F489" s="74">
        <v>57632.054807395623</v>
      </c>
      <c r="G489" s="74">
        <v>66070.44621732572</v>
      </c>
      <c r="H489" s="74">
        <v>240047.00000000111</v>
      </c>
    </row>
    <row r="490" spans="1:8" hidden="1" x14ac:dyDescent="0.45">
      <c r="A490" s="77" t="s">
        <v>826</v>
      </c>
      <c r="B490" s="80"/>
      <c r="C490" s="74">
        <v>23790.962398282514</v>
      </c>
      <c r="D490" s="74">
        <v>32119.894405302828</v>
      </c>
      <c r="E490" s="74">
        <v>37899.356931018672</v>
      </c>
      <c r="F490" s="74">
        <v>60163.06093688705</v>
      </c>
      <c r="G490" s="74">
        <v>57529.725328509121</v>
      </c>
      <c r="H490" s="74">
        <v>211503.00000000029</v>
      </c>
    </row>
    <row r="491" spans="1:8" hidden="1" x14ac:dyDescent="0.45">
      <c r="A491" s="77" t="s">
        <v>827</v>
      </c>
      <c r="B491" s="80"/>
      <c r="C491" s="74">
        <v>20139.347923355774</v>
      </c>
      <c r="D491" s="74">
        <v>11039.755653869528</v>
      </c>
      <c r="E491" s="74">
        <v>14510.458497710504</v>
      </c>
      <c r="F491" s="74">
        <v>36781.643672481427</v>
      </c>
      <c r="G491" s="74">
        <v>47693.794252582855</v>
      </c>
      <c r="H491" s="74">
        <v>130164.99999999953</v>
      </c>
    </row>
    <row r="492" spans="1:8" hidden="1" x14ac:dyDescent="0.45">
      <c r="A492" s="77" t="s">
        <v>828</v>
      </c>
      <c r="B492" s="80"/>
      <c r="C492" s="74">
        <v>31361.366514713682</v>
      </c>
      <c r="D492" s="74">
        <v>18073.332692175642</v>
      </c>
      <c r="E492" s="74">
        <v>23653.192417652932</v>
      </c>
      <c r="F492" s="74">
        <v>42270.852612287177</v>
      </c>
      <c r="G492" s="74">
        <v>33831.255763170528</v>
      </c>
      <c r="H492" s="74">
        <v>149189.99999999933</v>
      </c>
    </row>
    <row r="493" spans="1:8" hidden="1" x14ac:dyDescent="0.45">
      <c r="A493" s="77" t="s">
        <v>829</v>
      </c>
      <c r="B493" s="80"/>
      <c r="C493" s="74">
        <v>40763.250563091788</v>
      </c>
      <c r="D493" s="74">
        <v>15446.120044826652</v>
      </c>
      <c r="E493" s="74">
        <v>18429.735783385757</v>
      </c>
      <c r="F493" s="74">
        <v>16824.023824379597</v>
      </c>
      <c r="G493" s="74">
        <v>9071.8697843162354</v>
      </c>
      <c r="H493" s="74">
        <v>100535.00000000032</v>
      </c>
    </row>
    <row r="494" spans="1:8" hidden="1" x14ac:dyDescent="0.45">
      <c r="A494" s="77" t="s">
        <v>830</v>
      </c>
      <c r="B494" s="80"/>
      <c r="C494" s="74">
        <v>63988.435480878456</v>
      </c>
      <c r="D494" s="74">
        <v>28441.178104654122</v>
      </c>
      <c r="E494" s="74">
        <v>28609.71070896992</v>
      </c>
      <c r="F494" s="74">
        <v>16284.872902760604</v>
      </c>
      <c r="G494" s="74">
        <v>14435.802802736773</v>
      </c>
      <c r="H494" s="74">
        <v>151759.99999999991</v>
      </c>
    </row>
    <row r="495" spans="1:8" hidden="1" x14ac:dyDescent="0.45">
      <c r="A495" s="77" t="s">
        <v>831</v>
      </c>
      <c r="B495" s="80"/>
      <c r="C495" s="74">
        <v>96240.349573583255</v>
      </c>
      <c r="D495" s="74">
        <v>44184.224996478086</v>
      </c>
      <c r="E495" s="74">
        <v>15060.839265555514</v>
      </c>
      <c r="F495" s="74">
        <v>10469.89106505223</v>
      </c>
      <c r="G495" s="74">
        <v>6805.6950993312303</v>
      </c>
      <c r="H495" s="74">
        <v>172761.00000000009</v>
      </c>
    </row>
    <row r="496" spans="1:8" hidden="1" x14ac:dyDescent="0.45">
      <c r="A496" s="77" t="s">
        <v>832</v>
      </c>
      <c r="B496" s="80"/>
      <c r="C496" s="74">
        <v>3942.1467435266795</v>
      </c>
      <c r="D496" s="74">
        <v>15669.181071157702</v>
      </c>
      <c r="E496" s="74">
        <v>32961.279741770697</v>
      </c>
      <c r="F496" s="74">
        <v>26554.832147900699</v>
      </c>
      <c r="G496" s="74">
        <v>54304.560295644318</v>
      </c>
      <c r="H496" s="74">
        <v>133431.99999999968</v>
      </c>
    </row>
    <row r="497" spans="1:8" hidden="1" x14ac:dyDescent="0.45">
      <c r="A497" s="77" t="s">
        <v>833</v>
      </c>
      <c r="B497" s="80"/>
      <c r="C497" s="74">
        <v>40174.915652843818</v>
      </c>
      <c r="D497" s="74">
        <v>14764.303299719895</v>
      </c>
      <c r="E497" s="74">
        <v>26027.378906726026</v>
      </c>
      <c r="F497" s="74">
        <v>70949.331044501654</v>
      </c>
      <c r="G497" s="74">
        <v>71837.071096208456</v>
      </c>
      <c r="H497" s="74">
        <v>223753.00000000067</v>
      </c>
    </row>
    <row r="498" spans="1:8" hidden="1" x14ac:dyDescent="0.45">
      <c r="A498" s="77" t="s">
        <v>834</v>
      </c>
      <c r="B498" s="80"/>
      <c r="C498" s="74">
        <v>34654.458521936562</v>
      </c>
      <c r="D498" s="74">
        <v>8041.3767033976856</v>
      </c>
      <c r="E498" s="74">
        <v>7674.6068715119382</v>
      </c>
      <c r="F498" s="74">
        <v>13349.887385574859</v>
      </c>
      <c r="G498" s="74">
        <v>8237.6705175788393</v>
      </c>
      <c r="H498" s="74">
        <v>71957.9999999992</v>
      </c>
    </row>
    <row r="499" spans="1:8" hidden="1" x14ac:dyDescent="0.45">
      <c r="A499" s="77" t="s">
        <v>835</v>
      </c>
      <c r="B499" s="80"/>
      <c r="C499" s="74">
        <v>71605.713502708473</v>
      </c>
      <c r="D499" s="74">
        <v>8295.7033762961364</v>
      </c>
      <c r="E499" s="74">
        <v>8887.2386063038884</v>
      </c>
      <c r="F499" s="74">
        <v>7020.6806051737613</v>
      </c>
      <c r="G499" s="74">
        <v>8461.6639095173232</v>
      </c>
      <c r="H499" s="74">
        <v>104270.99999999967</v>
      </c>
    </row>
    <row r="500" spans="1:8" hidden="1" x14ac:dyDescent="0.45">
      <c r="A500" s="77" t="s">
        <v>836</v>
      </c>
      <c r="B500" s="80"/>
      <c r="C500" s="74">
        <v>70430.643183753928</v>
      </c>
      <c r="D500" s="74">
        <v>10339.400668009521</v>
      </c>
      <c r="E500" s="74">
        <v>7141.0241973861575</v>
      </c>
      <c r="F500" s="74">
        <v>6495.1069477150486</v>
      </c>
      <c r="G500" s="74">
        <v>10621.825003135877</v>
      </c>
      <c r="H500" s="74">
        <v>105028.00000000064</v>
      </c>
    </row>
    <row r="501" spans="1:8" hidden="1" x14ac:dyDescent="0.45">
      <c r="A501" s="77" t="s">
        <v>837</v>
      </c>
      <c r="B501" s="80"/>
      <c r="C501" s="74">
        <v>82806.563466347579</v>
      </c>
      <c r="D501" s="74">
        <v>49838.917276541506</v>
      </c>
      <c r="E501" s="74">
        <v>27154.645505936987</v>
      </c>
      <c r="F501" s="74">
        <v>22383.083321618105</v>
      </c>
      <c r="G501" s="74">
        <v>17736.790429555982</v>
      </c>
      <c r="H501" s="74">
        <v>199920.00000000029</v>
      </c>
    </row>
    <row r="502" spans="1:8" hidden="1" x14ac:dyDescent="0.45">
      <c r="A502" s="77" t="s">
        <v>838</v>
      </c>
      <c r="B502" s="80"/>
      <c r="C502" s="74">
        <v>13694.363680673167</v>
      </c>
      <c r="D502" s="74">
        <v>15593.293473123629</v>
      </c>
      <c r="E502" s="74">
        <v>20241.416156250205</v>
      </c>
      <c r="F502" s="74">
        <v>20052.171632061734</v>
      </c>
      <c r="G502" s="74">
        <v>8693.7550578912687</v>
      </c>
      <c r="H502" s="74">
        <v>78274.999999999884</v>
      </c>
    </row>
    <row r="503" spans="1:8" hidden="1" x14ac:dyDescent="0.45">
      <c r="A503" s="77" t="s">
        <v>839</v>
      </c>
      <c r="B503" s="80"/>
      <c r="C503" s="74">
        <v>33956.23977155413</v>
      </c>
      <c r="D503" s="74">
        <v>52811.287531365604</v>
      </c>
      <c r="E503" s="74">
        <v>25690.137275807629</v>
      </c>
      <c r="F503" s="74">
        <v>20627.511793925671</v>
      </c>
      <c r="G503" s="74">
        <v>20234.823627346999</v>
      </c>
      <c r="H503" s="74">
        <v>153320.0000000007</v>
      </c>
    </row>
    <row r="504" spans="1:8" hidden="1" x14ac:dyDescent="0.45">
      <c r="A504" s="77" t="s">
        <v>840</v>
      </c>
      <c r="B504" s="80"/>
      <c r="C504" s="74">
        <v>18754.221479824591</v>
      </c>
      <c r="D504" s="74">
        <v>6709.2092867726278</v>
      </c>
      <c r="E504" s="74">
        <v>6209.4596137579956</v>
      </c>
      <c r="F504" s="74">
        <v>4901.6717970912505</v>
      </c>
      <c r="G504" s="74">
        <v>4670.4378225535929</v>
      </c>
      <c r="H504" s="74">
        <v>41244.999999999884</v>
      </c>
    </row>
    <row r="505" spans="1:8" hidden="1" x14ac:dyDescent="0.45">
      <c r="A505" s="77" t="s">
        <v>841</v>
      </c>
      <c r="B505" s="80"/>
      <c r="C505" s="74">
        <v>28885.145728179501</v>
      </c>
      <c r="D505" s="74">
        <v>7687.030237258974</v>
      </c>
      <c r="E505" s="74">
        <v>9941.3721517414197</v>
      </c>
      <c r="F505" s="74">
        <v>7576.0608522086568</v>
      </c>
      <c r="G505" s="74">
        <v>5378.3910306116259</v>
      </c>
      <c r="H505" s="74">
        <v>59467.999999999432</v>
      </c>
    </row>
    <row r="506" spans="1:8" hidden="1" x14ac:dyDescent="0.45">
      <c r="A506" s="77" t="s">
        <v>842</v>
      </c>
      <c r="B506" s="80"/>
      <c r="C506" s="74">
        <v>15843.972860052198</v>
      </c>
      <c r="D506" s="74">
        <v>6325.5653007391738</v>
      </c>
      <c r="E506" s="74">
        <v>4276.4012485366175</v>
      </c>
      <c r="F506" s="74">
        <v>3623.8533911595082</v>
      </c>
      <c r="G506" s="74">
        <v>3753.2071995123474</v>
      </c>
      <c r="H506" s="74">
        <v>33823.000000000284</v>
      </c>
    </row>
    <row r="507" spans="1:8" hidden="1" x14ac:dyDescent="0.45">
      <c r="A507" s="77" t="s">
        <v>843</v>
      </c>
      <c r="B507" s="80"/>
      <c r="C507" s="74">
        <v>8105.1433218485327</v>
      </c>
      <c r="D507" s="74">
        <v>4312.5707901772421</v>
      </c>
      <c r="E507" s="74">
        <v>3030.7487943045212</v>
      </c>
      <c r="F507" s="74">
        <v>3628.3530623158308</v>
      </c>
      <c r="G507" s="74">
        <v>2398.1840313538223</v>
      </c>
      <c r="H507" s="74">
        <v>21475.000000000076</v>
      </c>
    </row>
    <row r="508" spans="1:8" hidden="1" x14ac:dyDescent="0.45">
      <c r="A508" s="77" t="s">
        <v>844</v>
      </c>
      <c r="B508" s="80"/>
      <c r="C508" s="74">
        <v>11678.669533081445</v>
      </c>
      <c r="D508" s="74">
        <v>3883.5872536148208</v>
      </c>
      <c r="E508" s="74">
        <v>5135.8742935188029</v>
      </c>
      <c r="F508" s="74">
        <v>2774.8583599536705</v>
      </c>
      <c r="G508" s="74">
        <v>2044.0105598312107</v>
      </c>
      <c r="H508" s="74">
        <v>25516.999999999818</v>
      </c>
    </row>
    <row r="509" spans="1:8" hidden="1" x14ac:dyDescent="0.45">
      <c r="A509" s="77" t="s">
        <v>845</v>
      </c>
      <c r="B509" s="80"/>
      <c r="C509" s="74">
        <v>18178.936500541855</v>
      </c>
      <c r="D509" s="74">
        <v>19691.150380570689</v>
      </c>
      <c r="E509" s="74">
        <v>18829.173484793053</v>
      </c>
      <c r="F509" s="74">
        <v>20849.430678797042</v>
      </c>
      <c r="G509" s="74">
        <v>39112.308955297427</v>
      </c>
      <c r="H509" s="74">
        <v>116661.00000000081</v>
      </c>
    </row>
    <row r="510" spans="1:8" hidden="1" x14ac:dyDescent="0.45">
      <c r="A510" s="77" t="s">
        <v>846</v>
      </c>
      <c r="B510" s="80"/>
      <c r="C510" s="74">
        <v>16934.868438253376</v>
      </c>
      <c r="D510" s="74">
        <v>18143.696941459428</v>
      </c>
      <c r="E510" s="74">
        <v>21616.932072221833</v>
      </c>
      <c r="F510" s="74">
        <v>54425.274835745302</v>
      </c>
      <c r="G510" s="74">
        <v>95773.227712319975</v>
      </c>
      <c r="H510" s="74">
        <v>206894.00000000073</v>
      </c>
    </row>
    <row r="511" spans="1:8" hidden="1" x14ac:dyDescent="0.45">
      <c r="A511" s="77" t="s">
        <v>847</v>
      </c>
      <c r="B511" s="80"/>
      <c r="C511" s="74">
        <v>5270.94573754266</v>
      </c>
      <c r="D511" s="74">
        <v>12077.96912677858</v>
      </c>
      <c r="E511" s="74">
        <v>17689.665728165444</v>
      </c>
      <c r="F511" s="74">
        <v>14190.724777691576</v>
      </c>
      <c r="G511" s="74">
        <v>6759.6946298218309</v>
      </c>
      <c r="H511" s="74">
        <v>55989.000000000546</v>
      </c>
    </row>
    <row r="512" spans="1:8" hidden="1" x14ac:dyDescent="0.45">
      <c r="A512" s="77" t="s">
        <v>848</v>
      </c>
      <c r="B512" s="80"/>
      <c r="C512" s="74">
        <v>6761.3801316011195</v>
      </c>
      <c r="D512" s="74">
        <v>3497.8935913821797</v>
      </c>
      <c r="E512" s="74">
        <v>1544.5062202591982</v>
      </c>
      <c r="F512" s="74">
        <v>17215.365403488417</v>
      </c>
      <c r="G512" s="74">
        <v>40963.854653269162</v>
      </c>
      <c r="H512" s="74">
        <v>69983.000000000146</v>
      </c>
    </row>
    <row r="513" spans="1:8" hidden="1" x14ac:dyDescent="0.45">
      <c r="A513" s="77" t="s">
        <v>849</v>
      </c>
      <c r="B513" s="80"/>
      <c r="C513" s="74">
        <v>26347.043602794794</v>
      </c>
      <c r="D513" s="74">
        <v>42473.681760429237</v>
      </c>
      <c r="E513" s="74">
        <v>27617.341751058182</v>
      </c>
      <c r="F513" s="74">
        <v>13497.186860420739</v>
      </c>
      <c r="G513" s="74">
        <v>5353.7460252968385</v>
      </c>
      <c r="H513" s="74">
        <v>115289.00000000137</v>
      </c>
    </row>
    <row r="514" spans="1:8" hidden="1" x14ac:dyDescent="0.45">
      <c r="A514" s="77" t="s">
        <v>850</v>
      </c>
      <c r="B514" s="80"/>
      <c r="C514" s="74">
        <v>63046.754992673275</v>
      </c>
      <c r="D514" s="74">
        <v>12227.485593653468</v>
      </c>
      <c r="E514" s="74">
        <v>9292.3329766228981</v>
      </c>
      <c r="F514" s="74">
        <v>9606.1672895465636</v>
      </c>
      <c r="G514" s="74">
        <v>6222.2591475039117</v>
      </c>
      <c r="H514" s="74">
        <v>100394.99999999988</v>
      </c>
    </row>
    <row r="515" spans="1:8" hidden="1" x14ac:dyDescent="0.45">
      <c r="A515" s="77" t="s">
        <v>851</v>
      </c>
      <c r="B515" s="80"/>
      <c r="C515" s="74">
        <v>10449.183508658045</v>
      </c>
      <c r="D515" s="74">
        <v>6477.0616118895041</v>
      </c>
      <c r="E515" s="74">
        <v>8444.9580515690213</v>
      </c>
      <c r="F515" s="74">
        <v>13221.500424007018</v>
      </c>
      <c r="G515" s="74">
        <v>14284.29640387644</v>
      </c>
      <c r="H515" s="74">
        <v>52876.999999999309</v>
      </c>
    </row>
    <row r="516" spans="1:8" hidden="1" x14ac:dyDescent="0.45">
      <c r="A516" s="77" t="s">
        <v>852</v>
      </c>
      <c r="B516" s="80"/>
      <c r="C516" s="74">
        <v>49483.629980129059</v>
      </c>
      <c r="D516" s="74">
        <v>8548.499444227009</v>
      </c>
      <c r="E516" s="74">
        <v>6710.4906779316943</v>
      </c>
      <c r="F516" s="74">
        <v>7483.4943940057992</v>
      </c>
      <c r="G516" s="74">
        <v>5825.8855037061894</v>
      </c>
      <c r="H516" s="74">
        <v>78051.99999999885</v>
      </c>
    </row>
    <row r="517" spans="1:8" hidden="1" x14ac:dyDescent="0.45">
      <c r="A517" s="77" t="s">
        <v>853</v>
      </c>
      <c r="B517" s="80"/>
      <c r="C517" s="74">
        <v>12268.398840154767</v>
      </c>
      <c r="D517" s="74">
        <v>31435.649183807865</v>
      </c>
      <c r="E517" s="74">
        <v>60601.772596357529</v>
      </c>
      <c r="F517" s="74">
        <v>84462.116579983587</v>
      </c>
      <c r="G517" s="74">
        <v>123518.06279969626</v>
      </c>
      <c r="H517" s="74">
        <v>312285.99999999907</v>
      </c>
    </row>
    <row r="518" spans="1:8" hidden="1" x14ac:dyDescent="0.45">
      <c r="A518" s="77" t="s">
        <v>854</v>
      </c>
      <c r="B518" s="80"/>
      <c r="C518" s="74">
        <v>68897736.321071401</v>
      </c>
      <c r="D518" s="74">
        <v>60165635.419924013</v>
      </c>
      <c r="E518" s="74">
        <v>53809970.951934531</v>
      </c>
      <c r="F518" s="74">
        <v>49419519.191497013</v>
      </c>
      <c r="G518" s="74">
        <v>44493932.115579121</v>
      </c>
      <c r="H518" s="74">
        <v>276786793.99997389</v>
      </c>
    </row>
    <row r="520" spans="1:8" x14ac:dyDescent="0.45">
      <c r="A520" s="72" t="s">
        <v>146</v>
      </c>
    </row>
  </sheetData>
  <mergeCells count="2">
    <mergeCell ref="C1:H1"/>
    <mergeCell ref="E2:F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D2D-3B38-4DE8-A6B7-0927020C8C4D}">
  <dimension ref="A1:P30"/>
  <sheetViews>
    <sheetView workbookViewId="0">
      <selection activeCell="A5" sqref="A5"/>
    </sheetView>
  </sheetViews>
  <sheetFormatPr defaultRowHeight="14.25" x14ac:dyDescent="0.45"/>
  <cols>
    <col min="1" max="1" width="19.796875" bestFit="1" customWidth="1"/>
    <col min="2" max="2" width="22" bestFit="1" customWidth="1"/>
    <col min="3" max="3" width="19.796875" bestFit="1" customWidth="1"/>
    <col min="4" max="15" width="13.33203125" customWidth="1"/>
    <col min="16" max="16" width="55.73046875" style="98" customWidth="1"/>
  </cols>
  <sheetData>
    <row r="1" spans="1:16" x14ac:dyDescent="0.45">
      <c r="A1" s="1" t="s">
        <v>893</v>
      </c>
      <c r="B1" s="1" t="s">
        <v>892</v>
      </c>
      <c r="C1" s="1" t="s">
        <v>891</v>
      </c>
      <c r="D1" s="94" t="s">
        <v>896</v>
      </c>
      <c r="E1" s="94" t="s">
        <v>895</v>
      </c>
      <c r="F1" s="94" t="s">
        <v>894</v>
      </c>
      <c r="G1" s="94" t="s">
        <v>905</v>
      </c>
      <c r="H1" s="94" t="s">
        <v>902</v>
      </c>
      <c r="I1" s="94" t="s">
        <v>899</v>
      </c>
      <c r="J1" s="94" t="s">
        <v>904</v>
      </c>
      <c r="K1" s="94" t="s">
        <v>901</v>
      </c>
      <c r="L1" s="94" t="s">
        <v>898</v>
      </c>
      <c r="M1" s="94" t="s">
        <v>903</v>
      </c>
      <c r="N1" s="94" t="s">
        <v>900</v>
      </c>
      <c r="O1" s="94" t="s">
        <v>897</v>
      </c>
      <c r="P1" s="97" t="s">
        <v>906</v>
      </c>
    </row>
    <row r="2" spans="1:16" x14ac:dyDescent="0.45">
      <c r="A2" t="s">
        <v>908</v>
      </c>
      <c r="B2" t="s">
        <v>907</v>
      </c>
      <c r="C2" t="s">
        <v>246</v>
      </c>
      <c r="D2" s="43">
        <v>83.37</v>
      </c>
      <c r="E2" s="43">
        <v>85.4</v>
      </c>
      <c r="F2" s="43">
        <v>88.51</v>
      </c>
      <c r="G2" s="43">
        <v>22425</v>
      </c>
      <c r="H2" s="43">
        <v>23575</v>
      </c>
      <c r="I2" s="43">
        <v>25573</v>
      </c>
      <c r="J2" s="43">
        <v>13.09</v>
      </c>
      <c r="K2" s="43">
        <v>13.33</v>
      </c>
      <c r="L2" s="43">
        <v>13.94</v>
      </c>
      <c r="M2" s="43">
        <v>73.81</v>
      </c>
      <c r="N2" s="43">
        <v>75.45</v>
      </c>
      <c r="O2" s="43">
        <v>76.23</v>
      </c>
    </row>
    <row r="3" spans="1:16" x14ac:dyDescent="0.45">
      <c r="A3" t="s">
        <v>910</v>
      </c>
      <c r="B3" t="s">
        <v>909</v>
      </c>
      <c r="C3" t="s">
        <v>251</v>
      </c>
      <c r="D3" s="43">
        <v>80.73</v>
      </c>
      <c r="E3" s="43">
        <v>82.84</v>
      </c>
      <c r="F3" s="43">
        <v>85.51</v>
      </c>
      <c r="G3" s="43">
        <v>16455</v>
      </c>
      <c r="H3" s="43">
        <v>17438</v>
      </c>
      <c r="I3" s="43">
        <v>19193</v>
      </c>
      <c r="J3" s="43">
        <v>13.06</v>
      </c>
      <c r="K3" s="43">
        <v>13.86</v>
      </c>
      <c r="L3" s="43">
        <v>14.07</v>
      </c>
      <c r="M3" s="43">
        <v>74.099999999999994</v>
      </c>
      <c r="N3" s="43">
        <v>74.819999999999993</v>
      </c>
      <c r="O3" s="43">
        <v>75.59</v>
      </c>
    </row>
    <row r="4" spans="1:16" x14ac:dyDescent="0.45">
      <c r="A4" t="s">
        <v>912</v>
      </c>
      <c r="B4" t="s">
        <v>911</v>
      </c>
      <c r="C4" t="s">
        <v>256</v>
      </c>
      <c r="D4" s="43">
        <v>79.69</v>
      </c>
      <c r="E4" s="43">
        <v>82.22</v>
      </c>
      <c r="F4" s="43">
        <v>84.45</v>
      </c>
      <c r="G4" s="43">
        <v>16143</v>
      </c>
      <c r="H4" s="43">
        <v>17179</v>
      </c>
      <c r="I4" s="43">
        <v>18661</v>
      </c>
      <c r="J4" s="43">
        <v>12.51</v>
      </c>
      <c r="K4" s="43">
        <v>13.25</v>
      </c>
      <c r="L4" s="43">
        <v>13.31</v>
      </c>
      <c r="M4" s="43">
        <v>73.7</v>
      </c>
      <c r="N4" s="43">
        <v>75.77</v>
      </c>
      <c r="O4" s="43">
        <v>76.569999999999993</v>
      </c>
    </row>
    <row r="5" spans="1:16" x14ac:dyDescent="0.45">
      <c r="A5" t="s">
        <v>914</v>
      </c>
      <c r="B5" t="s">
        <v>913</v>
      </c>
      <c r="C5" t="s">
        <v>261</v>
      </c>
      <c r="D5" s="43">
        <v>79.72</v>
      </c>
      <c r="E5" s="43">
        <v>82.33</v>
      </c>
      <c r="F5" s="43">
        <v>85.18</v>
      </c>
      <c r="G5" s="43">
        <v>19006</v>
      </c>
      <c r="H5" s="43">
        <v>20468</v>
      </c>
      <c r="I5" s="43">
        <v>22119</v>
      </c>
      <c r="J5" s="43">
        <v>12.39</v>
      </c>
      <c r="K5" s="43">
        <v>12.8</v>
      </c>
      <c r="L5" s="43">
        <v>13.14</v>
      </c>
      <c r="M5" s="43">
        <v>73.319999999999993</v>
      </c>
      <c r="N5" s="43">
        <v>75.52</v>
      </c>
      <c r="O5" s="43">
        <v>75.98</v>
      </c>
    </row>
    <row r="6" spans="1:16" x14ac:dyDescent="0.45">
      <c r="A6" t="s">
        <v>916</v>
      </c>
      <c r="B6" t="s">
        <v>915</v>
      </c>
      <c r="C6" t="s">
        <v>266</v>
      </c>
      <c r="D6" s="43">
        <v>78.3</v>
      </c>
      <c r="E6" s="43">
        <v>81.040000000000006</v>
      </c>
      <c r="F6" s="43">
        <v>83.12</v>
      </c>
      <c r="G6" s="43">
        <v>17205</v>
      </c>
      <c r="H6" s="43">
        <v>18437</v>
      </c>
      <c r="I6" s="43">
        <v>20032</v>
      </c>
      <c r="J6" s="43">
        <v>11.89</v>
      </c>
      <c r="K6" s="43">
        <v>12.63</v>
      </c>
      <c r="L6" s="43">
        <v>12.7</v>
      </c>
      <c r="M6" s="43">
        <v>72.91</v>
      </c>
      <c r="N6" s="43">
        <v>74.78</v>
      </c>
      <c r="O6" s="43">
        <v>75.17</v>
      </c>
    </row>
    <row r="7" spans="1:16" x14ac:dyDescent="0.45">
      <c r="A7" t="s">
        <v>918</v>
      </c>
      <c r="B7" t="s">
        <v>917</v>
      </c>
      <c r="C7" t="s">
        <v>81</v>
      </c>
      <c r="D7" s="43">
        <v>73.650000000000006</v>
      </c>
      <c r="E7" s="43">
        <v>77.11</v>
      </c>
      <c r="F7" s="43">
        <v>79.150000000000006</v>
      </c>
      <c r="G7" s="95">
        <v>11334.44</v>
      </c>
      <c r="H7" s="43">
        <v>11716</v>
      </c>
      <c r="I7" s="43">
        <v>13571</v>
      </c>
      <c r="J7" s="95">
        <v>13.09</v>
      </c>
      <c r="K7" s="43">
        <v>13.42</v>
      </c>
      <c r="L7" s="43">
        <v>13.69</v>
      </c>
      <c r="M7" s="95">
        <v>73.290000000000006</v>
      </c>
      <c r="N7" s="43">
        <v>74.92</v>
      </c>
      <c r="O7" s="43">
        <v>76.25</v>
      </c>
      <c r="P7" s="98" t="s">
        <v>940</v>
      </c>
    </row>
    <row r="8" spans="1:16" x14ac:dyDescent="0.45">
      <c r="A8" t="s">
        <v>920</v>
      </c>
      <c r="B8" s="89" t="s">
        <v>919</v>
      </c>
      <c r="C8" s="89" t="s">
        <v>77</v>
      </c>
      <c r="D8" s="90">
        <v>70.86</v>
      </c>
      <c r="E8" s="90">
        <v>72.400000000000006</v>
      </c>
      <c r="F8" s="90">
        <v>73.63</v>
      </c>
      <c r="G8" s="96">
        <v>11019.79</v>
      </c>
      <c r="H8" s="96">
        <v>11322.21</v>
      </c>
      <c r="I8" s="90">
        <v>11563</v>
      </c>
      <c r="J8" s="96">
        <v>12.15</v>
      </c>
      <c r="K8" s="96">
        <v>12.48</v>
      </c>
      <c r="L8" s="90">
        <v>12.75</v>
      </c>
      <c r="M8" s="96">
        <v>71.38</v>
      </c>
      <c r="N8" s="96">
        <v>73.34</v>
      </c>
      <c r="O8" s="90">
        <v>74.900000000000006</v>
      </c>
      <c r="P8" s="98" t="s">
        <v>941</v>
      </c>
    </row>
    <row r="9" spans="1:16" x14ac:dyDescent="0.45">
      <c r="A9" t="s">
        <v>922</v>
      </c>
      <c r="B9" t="s">
        <v>921</v>
      </c>
      <c r="C9" t="s">
        <v>83</v>
      </c>
      <c r="D9" s="43">
        <v>79.63</v>
      </c>
      <c r="E9" s="43">
        <v>81.5</v>
      </c>
      <c r="F9" s="43">
        <v>83.55</v>
      </c>
      <c r="G9" s="43">
        <v>15285.28</v>
      </c>
      <c r="H9" s="43">
        <v>15776</v>
      </c>
      <c r="I9" s="43">
        <v>16775</v>
      </c>
      <c r="J9" s="43">
        <v>13.83</v>
      </c>
      <c r="K9" s="43">
        <v>14</v>
      </c>
      <c r="L9" s="43">
        <v>14.14</v>
      </c>
      <c r="M9" s="43">
        <v>73.599999999999994</v>
      </c>
      <c r="N9" s="43">
        <v>75.010000000000005</v>
      </c>
      <c r="O9" s="43">
        <v>76.14</v>
      </c>
      <c r="P9" s="98" t="s">
        <v>940</v>
      </c>
    </row>
    <row r="10" spans="1:16" x14ac:dyDescent="0.45">
      <c r="A10" t="s">
        <v>924</v>
      </c>
      <c r="B10" s="89" t="s">
        <v>923</v>
      </c>
      <c r="C10" s="89" t="s">
        <v>79</v>
      </c>
      <c r="D10" s="90">
        <v>71.19</v>
      </c>
      <c r="E10" s="90">
        <v>74.069999999999993</v>
      </c>
      <c r="F10" s="90">
        <v>77.8</v>
      </c>
      <c r="G10" s="90">
        <v>10323</v>
      </c>
      <c r="H10" s="90">
        <v>11241</v>
      </c>
      <c r="I10" s="90">
        <v>12500</v>
      </c>
      <c r="J10" s="90">
        <v>11.93</v>
      </c>
      <c r="K10" s="90">
        <v>13.09</v>
      </c>
      <c r="L10" s="90">
        <v>13.18</v>
      </c>
      <c r="M10" s="90">
        <v>73.180000000000007</v>
      </c>
      <c r="N10" s="90">
        <v>73.680000000000007</v>
      </c>
      <c r="O10" s="90">
        <v>74.569999999999993</v>
      </c>
    </row>
    <row r="11" spans="1:16" x14ac:dyDescent="0.45">
      <c r="A11" t="s">
        <v>926</v>
      </c>
      <c r="B11" t="s">
        <v>925</v>
      </c>
      <c r="C11" t="s">
        <v>85</v>
      </c>
      <c r="D11" s="43">
        <v>78.75</v>
      </c>
      <c r="E11" s="43">
        <v>81.14</v>
      </c>
      <c r="F11" s="43">
        <v>83.05</v>
      </c>
      <c r="G11" s="95">
        <v>14835.5</v>
      </c>
      <c r="H11" s="43">
        <v>15281</v>
      </c>
      <c r="I11" s="43">
        <v>16640</v>
      </c>
      <c r="J11" s="95">
        <v>13.68</v>
      </c>
      <c r="K11" s="43">
        <v>13.92</v>
      </c>
      <c r="L11" s="43">
        <v>14.11</v>
      </c>
      <c r="M11" s="95">
        <v>73.540000000000006</v>
      </c>
      <c r="N11" s="43">
        <v>74.8</v>
      </c>
      <c r="O11" s="43">
        <v>75.819999999999993</v>
      </c>
      <c r="P11" s="98" t="s">
        <v>940</v>
      </c>
    </row>
    <row r="12" spans="1:16" x14ac:dyDescent="0.45">
      <c r="A12" t="s">
        <v>928</v>
      </c>
      <c r="B12" t="s">
        <v>927</v>
      </c>
      <c r="C12" t="s">
        <v>89</v>
      </c>
      <c r="D12" s="43">
        <v>77.709999999999994</v>
      </c>
      <c r="E12" s="43">
        <v>79.83</v>
      </c>
      <c r="F12" s="43">
        <v>81.53</v>
      </c>
      <c r="G12" s="95">
        <v>14104.22</v>
      </c>
      <c r="H12" s="43">
        <v>14484</v>
      </c>
      <c r="I12" s="43">
        <v>15641</v>
      </c>
      <c r="J12" s="95">
        <v>13.79</v>
      </c>
      <c r="K12" s="43">
        <v>13.85</v>
      </c>
      <c r="L12" s="43">
        <v>13.9</v>
      </c>
      <c r="M12" s="95">
        <v>73.89</v>
      </c>
      <c r="N12" s="43">
        <v>74.78</v>
      </c>
      <c r="O12" s="43">
        <v>75.5</v>
      </c>
      <c r="P12" s="98" t="s">
        <v>940</v>
      </c>
    </row>
    <row r="13" spans="1:16" x14ac:dyDescent="0.45">
      <c r="A13" t="s">
        <v>930</v>
      </c>
      <c r="B13" t="s">
        <v>929</v>
      </c>
      <c r="C13" t="s">
        <v>91</v>
      </c>
      <c r="D13" s="43">
        <v>79.38</v>
      </c>
      <c r="E13" s="43">
        <v>82.73</v>
      </c>
      <c r="F13" s="43">
        <v>84.16</v>
      </c>
      <c r="G13" s="95">
        <v>14981.48</v>
      </c>
      <c r="H13" s="95">
        <v>15801.39</v>
      </c>
      <c r="I13" s="43">
        <v>16145.55</v>
      </c>
      <c r="J13" s="95">
        <v>13.31</v>
      </c>
      <c r="K13" s="95">
        <v>14.04</v>
      </c>
      <c r="L13" s="43">
        <v>14.35</v>
      </c>
      <c r="M13" s="95">
        <v>72.319999999999993</v>
      </c>
      <c r="N13" s="95">
        <v>76.28</v>
      </c>
      <c r="O13" s="43">
        <v>77.94</v>
      </c>
      <c r="P13" s="98" t="s">
        <v>942</v>
      </c>
    </row>
    <row r="14" spans="1:16" x14ac:dyDescent="0.45">
      <c r="A14" t="s">
        <v>932</v>
      </c>
      <c r="B14" s="89" t="s">
        <v>931</v>
      </c>
      <c r="C14" s="89" t="s">
        <v>87</v>
      </c>
      <c r="D14" s="90">
        <v>70.05</v>
      </c>
      <c r="E14" s="90">
        <v>74.09</v>
      </c>
      <c r="F14" s="90">
        <v>76.19</v>
      </c>
      <c r="G14" s="96">
        <v>13541.43</v>
      </c>
      <c r="H14" s="96">
        <v>14559.99</v>
      </c>
      <c r="I14" s="90">
        <v>15088.06</v>
      </c>
      <c r="J14" s="96">
        <v>12.03</v>
      </c>
      <c r="K14" s="96">
        <v>12.94</v>
      </c>
      <c r="L14" s="90">
        <v>13.41</v>
      </c>
      <c r="M14" s="96">
        <v>65.36</v>
      </c>
      <c r="N14" s="96">
        <v>70.28</v>
      </c>
      <c r="O14" s="90">
        <v>72.83</v>
      </c>
      <c r="P14" s="98" t="s">
        <v>942</v>
      </c>
    </row>
    <row r="16" spans="1:16" x14ac:dyDescent="0.45">
      <c r="D16" s="152" t="s">
        <v>943</v>
      </c>
      <c r="E16" s="153"/>
      <c r="F16" s="153"/>
      <c r="G16" s="153"/>
      <c r="H16" s="153"/>
      <c r="I16" s="153"/>
      <c r="J16" s="153"/>
      <c r="K16" s="153"/>
      <c r="L16" s="153"/>
      <c r="M16" s="153"/>
      <c r="N16" s="153"/>
      <c r="O16" s="154"/>
    </row>
    <row r="17" spans="1:16" x14ac:dyDescent="0.45">
      <c r="A17" s="1" t="s">
        <v>893</v>
      </c>
      <c r="B17" s="1" t="s">
        <v>892</v>
      </c>
      <c r="C17" s="1" t="s">
        <v>891</v>
      </c>
      <c r="D17" s="1" t="s">
        <v>896</v>
      </c>
      <c r="E17" s="1" t="s">
        <v>895</v>
      </c>
      <c r="F17" s="91" t="s">
        <v>894</v>
      </c>
      <c r="G17" s="1" t="s">
        <v>905</v>
      </c>
      <c r="H17" s="1" t="s">
        <v>902</v>
      </c>
      <c r="I17" s="91" t="s">
        <v>899</v>
      </c>
      <c r="J17" s="1" t="s">
        <v>904</v>
      </c>
      <c r="K17" s="1" t="s">
        <v>901</v>
      </c>
      <c r="L17" s="91" t="s">
        <v>898</v>
      </c>
      <c r="M17" s="1" t="s">
        <v>903</v>
      </c>
      <c r="N17" s="1" t="s">
        <v>900</v>
      </c>
      <c r="O17" s="91" t="s">
        <v>897</v>
      </c>
      <c r="P17" s="97" t="s">
        <v>906</v>
      </c>
    </row>
    <row r="18" spans="1:16" x14ac:dyDescent="0.45">
      <c r="A18" t="s">
        <v>908</v>
      </c>
      <c r="B18" t="s">
        <v>907</v>
      </c>
      <c r="C18" t="s">
        <v>246</v>
      </c>
      <c r="D18" s="43">
        <f t="shared" ref="D18:F30" si="0">D2/$F2*100</f>
        <v>94.19274658230708</v>
      </c>
      <c r="E18" s="43">
        <f t="shared" si="0"/>
        <v>96.486272737543771</v>
      </c>
      <c r="F18" s="92">
        <f t="shared" si="0"/>
        <v>100</v>
      </c>
      <c r="G18" s="43">
        <f t="shared" ref="G18:I30" si="1">G2/$I2*100</f>
        <v>87.690141946584291</v>
      </c>
      <c r="H18" s="43">
        <f t="shared" si="1"/>
        <v>92.187072302819388</v>
      </c>
      <c r="I18" s="92">
        <f t="shared" si="1"/>
        <v>100</v>
      </c>
      <c r="J18" s="43">
        <f t="shared" ref="J18:L30" si="2">J2/$L2*100</f>
        <v>93.902439024390247</v>
      </c>
      <c r="K18" s="43">
        <f t="shared" si="2"/>
        <v>95.624103299856529</v>
      </c>
      <c r="L18" s="92">
        <f t="shared" si="2"/>
        <v>100</v>
      </c>
      <c r="M18" s="43">
        <f t="shared" ref="M18:O30" si="3">M2/$O2*100</f>
        <v>96.825396825396822</v>
      </c>
      <c r="N18" s="43">
        <f t="shared" si="3"/>
        <v>98.976780794962622</v>
      </c>
      <c r="O18" s="92">
        <f t="shared" si="3"/>
        <v>100</v>
      </c>
    </row>
    <row r="19" spans="1:16" x14ac:dyDescent="0.45">
      <c r="A19" t="s">
        <v>910</v>
      </c>
      <c r="B19" t="s">
        <v>909</v>
      </c>
      <c r="C19" t="s">
        <v>251</v>
      </c>
      <c r="D19" s="43">
        <f t="shared" si="0"/>
        <v>94.410010525084786</v>
      </c>
      <c r="E19" s="43">
        <f t="shared" si="0"/>
        <v>96.877558180329785</v>
      </c>
      <c r="F19" s="92">
        <f t="shared" si="0"/>
        <v>100</v>
      </c>
      <c r="G19" s="43">
        <f t="shared" si="1"/>
        <v>85.734382326890014</v>
      </c>
      <c r="H19" s="43">
        <f t="shared" si="1"/>
        <v>90.856041265044553</v>
      </c>
      <c r="I19" s="92">
        <f t="shared" si="1"/>
        <v>100</v>
      </c>
      <c r="J19" s="43">
        <f t="shared" si="2"/>
        <v>92.821606254442074</v>
      </c>
      <c r="K19" s="43">
        <f t="shared" si="2"/>
        <v>98.507462686567166</v>
      </c>
      <c r="L19" s="92">
        <f t="shared" si="2"/>
        <v>100</v>
      </c>
      <c r="M19" s="43">
        <f t="shared" si="3"/>
        <v>98.028839793623476</v>
      </c>
      <c r="N19" s="43">
        <f t="shared" si="3"/>
        <v>98.981346738986616</v>
      </c>
      <c r="O19" s="92">
        <f t="shared" si="3"/>
        <v>100</v>
      </c>
    </row>
    <row r="20" spans="1:16" x14ac:dyDescent="0.45">
      <c r="A20" t="s">
        <v>912</v>
      </c>
      <c r="B20" t="s">
        <v>911</v>
      </c>
      <c r="C20" t="s">
        <v>256</v>
      </c>
      <c r="D20" s="43">
        <f t="shared" si="0"/>
        <v>94.363528715216091</v>
      </c>
      <c r="E20" s="43">
        <f t="shared" si="0"/>
        <v>97.359384251036104</v>
      </c>
      <c r="F20" s="92">
        <f t="shared" si="0"/>
        <v>100</v>
      </c>
      <c r="G20" s="43">
        <f t="shared" si="1"/>
        <v>86.506618080488721</v>
      </c>
      <c r="H20" s="43">
        <f t="shared" si="1"/>
        <v>92.058303413536251</v>
      </c>
      <c r="I20" s="92">
        <f t="shared" si="1"/>
        <v>100</v>
      </c>
      <c r="J20" s="43">
        <f t="shared" si="2"/>
        <v>93.989481592787371</v>
      </c>
      <c r="K20" s="43">
        <f t="shared" si="2"/>
        <v>99.549211119459045</v>
      </c>
      <c r="L20" s="92">
        <f t="shared" si="2"/>
        <v>100</v>
      </c>
      <c r="M20" s="43">
        <f t="shared" si="3"/>
        <v>96.251795742457887</v>
      </c>
      <c r="N20" s="43">
        <f t="shared" si="3"/>
        <v>98.955204388141567</v>
      </c>
      <c r="O20" s="92">
        <f t="shared" si="3"/>
        <v>100</v>
      </c>
    </row>
    <row r="21" spans="1:16" x14ac:dyDescent="0.45">
      <c r="A21" t="s">
        <v>914</v>
      </c>
      <c r="B21" t="s">
        <v>913</v>
      </c>
      <c r="C21" t="s">
        <v>261</v>
      </c>
      <c r="D21" s="43">
        <f t="shared" si="0"/>
        <v>93.590044611411116</v>
      </c>
      <c r="E21" s="43">
        <f t="shared" si="0"/>
        <v>96.654144165297012</v>
      </c>
      <c r="F21" s="92">
        <f t="shared" si="0"/>
        <v>100</v>
      </c>
      <c r="G21" s="43">
        <f t="shared" si="1"/>
        <v>85.926126859261259</v>
      </c>
      <c r="H21" s="43">
        <f t="shared" si="1"/>
        <v>92.535828925358288</v>
      </c>
      <c r="I21" s="92">
        <f t="shared" si="1"/>
        <v>100</v>
      </c>
      <c r="J21" s="43">
        <f t="shared" si="2"/>
        <v>94.292237442922371</v>
      </c>
      <c r="K21" s="43">
        <f t="shared" si="2"/>
        <v>97.412480974124819</v>
      </c>
      <c r="L21" s="92">
        <f t="shared" si="2"/>
        <v>100</v>
      </c>
      <c r="M21" s="43">
        <f t="shared" si="3"/>
        <v>96.49907870492234</v>
      </c>
      <c r="N21" s="43">
        <f t="shared" si="3"/>
        <v>99.394577520400091</v>
      </c>
      <c r="O21" s="92">
        <f t="shared" si="3"/>
        <v>100</v>
      </c>
    </row>
    <row r="22" spans="1:16" x14ac:dyDescent="0.45">
      <c r="A22" t="s">
        <v>916</v>
      </c>
      <c r="B22" t="s">
        <v>915</v>
      </c>
      <c r="C22" t="s">
        <v>266</v>
      </c>
      <c r="D22" s="43">
        <f t="shared" si="0"/>
        <v>94.201154956689109</v>
      </c>
      <c r="E22" s="43">
        <f t="shared" si="0"/>
        <v>97.497593840230991</v>
      </c>
      <c r="F22" s="92">
        <f t="shared" si="0"/>
        <v>100</v>
      </c>
      <c r="G22" s="43">
        <f t="shared" si="1"/>
        <v>85.887579872204483</v>
      </c>
      <c r="H22" s="43">
        <f t="shared" si="1"/>
        <v>92.037739616613422</v>
      </c>
      <c r="I22" s="92">
        <f t="shared" si="1"/>
        <v>100</v>
      </c>
      <c r="J22" s="43">
        <f t="shared" si="2"/>
        <v>93.622047244094503</v>
      </c>
      <c r="K22" s="43">
        <f t="shared" si="2"/>
        <v>99.448818897637807</v>
      </c>
      <c r="L22" s="92">
        <f t="shared" si="2"/>
        <v>100</v>
      </c>
      <c r="M22" s="43">
        <f t="shared" si="3"/>
        <v>96.993481442064649</v>
      </c>
      <c r="N22" s="43">
        <f t="shared" si="3"/>
        <v>99.481176001064256</v>
      </c>
      <c r="O22" s="92">
        <f t="shared" si="3"/>
        <v>100</v>
      </c>
    </row>
    <row r="23" spans="1:16" x14ac:dyDescent="0.45">
      <c r="A23" t="s">
        <v>918</v>
      </c>
      <c r="B23" t="s">
        <v>917</v>
      </c>
      <c r="C23" t="s">
        <v>81</v>
      </c>
      <c r="D23" s="43">
        <f t="shared" si="0"/>
        <v>93.051168667087808</v>
      </c>
      <c r="E23" s="43">
        <f t="shared" si="0"/>
        <v>97.422615287428926</v>
      </c>
      <c r="F23" s="92">
        <f t="shared" si="0"/>
        <v>100</v>
      </c>
      <c r="G23" s="43">
        <f t="shared" si="1"/>
        <v>83.519563775698174</v>
      </c>
      <c r="H23" s="43">
        <f t="shared" si="1"/>
        <v>86.331147299388405</v>
      </c>
      <c r="I23" s="92">
        <f t="shared" si="1"/>
        <v>100</v>
      </c>
      <c r="J23" s="43">
        <f t="shared" si="2"/>
        <v>95.617238860482104</v>
      </c>
      <c r="K23" s="43">
        <f t="shared" si="2"/>
        <v>98.027757487216945</v>
      </c>
      <c r="L23" s="92">
        <f t="shared" si="2"/>
        <v>100</v>
      </c>
      <c r="M23" s="43">
        <f t="shared" si="3"/>
        <v>96.118032786885252</v>
      </c>
      <c r="N23" s="43">
        <f t="shared" si="3"/>
        <v>98.255737704918033</v>
      </c>
      <c r="O23" s="92">
        <f t="shared" si="3"/>
        <v>100</v>
      </c>
    </row>
    <row r="24" spans="1:16" x14ac:dyDescent="0.45">
      <c r="A24" t="s">
        <v>920</v>
      </c>
      <c r="B24" s="89" t="s">
        <v>919</v>
      </c>
      <c r="C24" s="89" t="s">
        <v>77</v>
      </c>
      <c r="D24" s="90">
        <f t="shared" si="0"/>
        <v>96.23794648920277</v>
      </c>
      <c r="E24" s="90">
        <f t="shared" si="0"/>
        <v>98.329485264158649</v>
      </c>
      <c r="F24" s="93">
        <f t="shared" si="0"/>
        <v>100</v>
      </c>
      <c r="G24" s="90">
        <f t="shared" si="1"/>
        <v>95.302170716941987</v>
      </c>
      <c r="H24" s="90">
        <f t="shared" si="1"/>
        <v>97.917581942402492</v>
      </c>
      <c r="I24" s="93">
        <f t="shared" si="1"/>
        <v>100</v>
      </c>
      <c r="J24" s="90">
        <f t="shared" si="2"/>
        <v>95.294117647058826</v>
      </c>
      <c r="K24" s="90">
        <f t="shared" si="2"/>
        <v>97.882352941176478</v>
      </c>
      <c r="L24" s="93">
        <f t="shared" si="2"/>
        <v>100</v>
      </c>
      <c r="M24" s="90">
        <f t="shared" si="3"/>
        <v>95.30040053404538</v>
      </c>
      <c r="N24" s="90">
        <f t="shared" si="3"/>
        <v>97.917222963951929</v>
      </c>
      <c r="O24" s="93">
        <f t="shared" si="3"/>
        <v>100</v>
      </c>
    </row>
    <row r="25" spans="1:16" x14ac:dyDescent="0.45">
      <c r="A25" t="s">
        <v>922</v>
      </c>
      <c r="B25" t="s">
        <v>921</v>
      </c>
      <c r="C25" t="s">
        <v>83</v>
      </c>
      <c r="D25" s="43">
        <f t="shared" si="0"/>
        <v>95.3081986834231</v>
      </c>
      <c r="E25" s="43">
        <f t="shared" si="0"/>
        <v>97.546379413524846</v>
      </c>
      <c r="F25" s="92">
        <f t="shared" si="0"/>
        <v>100</v>
      </c>
      <c r="G25" s="43">
        <f t="shared" si="1"/>
        <v>91.119403874813713</v>
      </c>
      <c r="H25" s="43">
        <f t="shared" si="1"/>
        <v>94.044709388971683</v>
      </c>
      <c r="I25" s="92">
        <f t="shared" si="1"/>
        <v>100</v>
      </c>
      <c r="J25" s="43">
        <f t="shared" si="2"/>
        <v>97.807637906647798</v>
      </c>
      <c r="K25" s="43">
        <f t="shared" si="2"/>
        <v>99.009900990099013</v>
      </c>
      <c r="L25" s="92">
        <f t="shared" si="2"/>
        <v>100</v>
      </c>
      <c r="M25" s="43">
        <f t="shared" si="3"/>
        <v>96.664039926451267</v>
      </c>
      <c r="N25" s="43">
        <f t="shared" si="3"/>
        <v>98.515891778303128</v>
      </c>
      <c r="O25" s="92">
        <f t="shared" si="3"/>
        <v>100</v>
      </c>
    </row>
    <row r="26" spans="1:16" x14ac:dyDescent="0.45">
      <c r="A26" t="s">
        <v>924</v>
      </c>
      <c r="B26" s="89" t="s">
        <v>923</v>
      </c>
      <c r="C26" s="89" t="s">
        <v>79</v>
      </c>
      <c r="D26" s="90">
        <f t="shared" si="0"/>
        <v>91.503856041131101</v>
      </c>
      <c r="E26" s="90">
        <f t="shared" si="0"/>
        <v>95.205655526992288</v>
      </c>
      <c r="F26" s="93">
        <f t="shared" si="0"/>
        <v>100</v>
      </c>
      <c r="G26" s="90">
        <f t="shared" si="1"/>
        <v>82.584000000000003</v>
      </c>
      <c r="H26" s="90">
        <f t="shared" si="1"/>
        <v>89.927999999999997</v>
      </c>
      <c r="I26" s="93">
        <f t="shared" si="1"/>
        <v>100</v>
      </c>
      <c r="J26" s="90">
        <f t="shared" si="2"/>
        <v>90.515933232169957</v>
      </c>
      <c r="K26" s="90">
        <f t="shared" si="2"/>
        <v>99.317147192716234</v>
      </c>
      <c r="L26" s="93">
        <f t="shared" si="2"/>
        <v>100</v>
      </c>
      <c r="M26" s="90">
        <f t="shared" si="3"/>
        <v>98.135979616467765</v>
      </c>
      <c r="N26" s="90">
        <f t="shared" si="3"/>
        <v>98.80649054579591</v>
      </c>
      <c r="O26" s="93">
        <f t="shared" si="3"/>
        <v>100</v>
      </c>
    </row>
    <row r="27" spans="1:16" x14ac:dyDescent="0.45">
      <c r="A27" t="s">
        <v>926</v>
      </c>
      <c r="B27" t="s">
        <v>925</v>
      </c>
      <c r="C27" t="s">
        <v>85</v>
      </c>
      <c r="D27" s="43">
        <f t="shared" si="0"/>
        <v>94.82239614689945</v>
      </c>
      <c r="E27" s="43">
        <f t="shared" si="0"/>
        <v>97.700180614087913</v>
      </c>
      <c r="F27" s="92">
        <f t="shared" si="0"/>
        <v>100</v>
      </c>
      <c r="G27" s="43">
        <f t="shared" si="1"/>
        <v>89.155649038461533</v>
      </c>
      <c r="H27" s="43">
        <f t="shared" si="1"/>
        <v>91.832932692307693</v>
      </c>
      <c r="I27" s="92">
        <f t="shared" si="1"/>
        <v>100</v>
      </c>
      <c r="J27" s="43">
        <f t="shared" si="2"/>
        <v>96.952515946137495</v>
      </c>
      <c r="K27" s="43">
        <f t="shared" si="2"/>
        <v>98.653437278525871</v>
      </c>
      <c r="L27" s="92">
        <f t="shared" si="2"/>
        <v>100</v>
      </c>
      <c r="M27" s="43">
        <f t="shared" si="3"/>
        <v>96.992877868636256</v>
      </c>
      <c r="N27" s="43">
        <f t="shared" si="3"/>
        <v>98.654708520179383</v>
      </c>
      <c r="O27" s="92">
        <f t="shared" si="3"/>
        <v>100</v>
      </c>
    </row>
    <row r="28" spans="1:16" x14ac:dyDescent="0.45">
      <c r="A28" t="s">
        <v>928</v>
      </c>
      <c r="B28" t="s">
        <v>927</v>
      </c>
      <c r="C28" t="s">
        <v>89</v>
      </c>
      <c r="D28" s="43">
        <f t="shared" si="0"/>
        <v>95.314608119710527</v>
      </c>
      <c r="E28" s="43">
        <f t="shared" si="0"/>
        <v>97.91487795903349</v>
      </c>
      <c r="F28" s="92">
        <f t="shared" si="0"/>
        <v>100</v>
      </c>
      <c r="G28" s="43">
        <f t="shared" si="1"/>
        <v>90.17466913880186</v>
      </c>
      <c r="H28" s="43">
        <f t="shared" si="1"/>
        <v>92.602774758647143</v>
      </c>
      <c r="I28" s="92">
        <f t="shared" si="1"/>
        <v>100</v>
      </c>
      <c r="J28" s="43">
        <f t="shared" si="2"/>
        <v>99.208633093525165</v>
      </c>
      <c r="K28" s="43">
        <f t="shared" si="2"/>
        <v>99.640287769784166</v>
      </c>
      <c r="L28" s="92">
        <f t="shared" si="2"/>
        <v>100</v>
      </c>
      <c r="M28" s="43">
        <f t="shared" si="3"/>
        <v>97.867549668874176</v>
      </c>
      <c r="N28" s="43">
        <f t="shared" si="3"/>
        <v>99.046357615894038</v>
      </c>
      <c r="O28" s="92">
        <f t="shared" si="3"/>
        <v>100</v>
      </c>
    </row>
    <row r="29" spans="1:16" x14ac:dyDescent="0.45">
      <c r="A29" t="s">
        <v>930</v>
      </c>
      <c r="B29" t="s">
        <v>929</v>
      </c>
      <c r="C29" t="s">
        <v>91</v>
      </c>
      <c r="D29" s="43">
        <f t="shared" si="0"/>
        <v>94.320342205323186</v>
      </c>
      <c r="E29" s="43">
        <f t="shared" si="0"/>
        <v>98.300855513307994</v>
      </c>
      <c r="F29" s="92">
        <f t="shared" si="0"/>
        <v>100</v>
      </c>
      <c r="G29" s="43">
        <f t="shared" si="1"/>
        <v>92.79014960778666</v>
      </c>
      <c r="H29" s="43">
        <f t="shared" si="1"/>
        <v>97.868390980796576</v>
      </c>
      <c r="I29" s="92">
        <f t="shared" si="1"/>
        <v>100</v>
      </c>
      <c r="J29" s="43">
        <f t="shared" si="2"/>
        <v>92.752613240418128</v>
      </c>
      <c r="K29" s="43">
        <f t="shared" si="2"/>
        <v>97.839721254355396</v>
      </c>
      <c r="L29" s="92">
        <f t="shared" si="2"/>
        <v>100</v>
      </c>
      <c r="M29" s="43">
        <f t="shared" si="3"/>
        <v>92.789325121888623</v>
      </c>
      <c r="N29" s="43">
        <f t="shared" si="3"/>
        <v>97.870156530664616</v>
      </c>
      <c r="O29" s="92">
        <f t="shared" si="3"/>
        <v>100</v>
      </c>
    </row>
    <row r="30" spans="1:16" x14ac:dyDescent="0.45">
      <c r="A30" t="s">
        <v>932</v>
      </c>
      <c r="B30" s="89" t="s">
        <v>931</v>
      </c>
      <c r="C30" s="89" t="s">
        <v>87</v>
      </c>
      <c r="D30" s="90">
        <f t="shared" si="0"/>
        <v>91.9411996324977</v>
      </c>
      <c r="E30" s="90">
        <f t="shared" si="0"/>
        <v>97.243732773329839</v>
      </c>
      <c r="F30" s="93">
        <f t="shared" si="0"/>
        <v>100</v>
      </c>
      <c r="G30" s="90">
        <f t="shared" si="1"/>
        <v>89.749311707403081</v>
      </c>
      <c r="H30" s="90">
        <f t="shared" si="1"/>
        <v>96.50008019586349</v>
      </c>
      <c r="I30" s="93">
        <f t="shared" si="1"/>
        <v>100</v>
      </c>
      <c r="J30" s="90">
        <f t="shared" si="2"/>
        <v>89.709172259507824</v>
      </c>
      <c r="K30" s="90">
        <f t="shared" si="2"/>
        <v>96.495152870991802</v>
      </c>
      <c r="L30" s="93">
        <f t="shared" si="2"/>
        <v>100</v>
      </c>
      <c r="M30" s="90">
        <f t="shared" si="3"/>
        <v>89.743237676781547</v>
      </c>
      <c r="N30" s="90">
        <f t="shared" si="3"/>
        <v>96.498695592475642</v>
      </c>
      <c r="O30" s="93">
        <f t="shared" si="3"/>
        <v>100</v>
      </c>
    </row>
  </sheetData>
  <mergeCells count="1">
    <mergeCell ref="D16:O16"/>
  </mergeCells>
  <conditionalFormatting sqref="D18:D30">
    <cfRule type="colorScale" priority="12">
      <colorScale>
        <cfvo type="min"/>
        <cfvo type="max"/>
        <color rgb="FFB7FCFF"/>
        <color rgb="FFFB2DE2"/>
      </colorScale>
    </cfRule>
  </conditionalFormatting>
  <conditionalFormatting sqref="D2:F14">
    <cfRule type="colorScale" priority="7">
      <colorScale>
        <cfvo type="min"/>
        <cfvo type="max"/>
        <color rgb="FFFEF3B4"/>
        <color rgb="FF3FF6FF"/>
      </colorScale>
    </cfRule>
  </conditionalFormatting>
  <conditionalFormatting sqref="E18:E30">
    <cfRule type="colorScale" priority="11">
      <colorScale>
        <cfvo type="min"/>
        <cfvo type="max"/>
        <color rgb="FFB7FCFF"/>
        <color rgb="FFFB2DE2"/>
      </colorScale>
    </cfRule>
  </conditionalFormatting>
  <conditionalFormatting sqref="G18:G30">
    <cfRule type="colorScale" priority="13">
      <colorScale>
        <cfvo type="min"/>
        <cfvo type="max"/>
        <color rgb="FFB7FCFF"/>
        <color rgb="FFFB2DE2"/>
      </colorScale>
    </cfRule>
  </conditionalFormatting>
  <conditionalFormatting sqref="G2:I14">
    <cfRule type="colorScale" priority="3">
      <colorScale>
        <cfvo type="min"/>
        <cfvo type="max"/>
        <color rgb="FFFEF3B4"/>
        <color rgb="FF3FF6FF"/>
      </colorScale>
    </cfRule>
  </conditionalFormatting>
  <conditionalFormatting sqref="H18:H30">
    <cfRule type="colorScale" priority="10">
      <colorScale>
        <cfvo type="min"/>
        <cfvo type="max"/>
        <color rgb="FFB7FCFF"/>
        <color rgb="FFFB2DE2"/>
      </colorScale>
    </cfRule>
  </conditionalFormatting>
  <conditionalFormatting sqref="J18:J30">
    <cfRule type="colorScale" priority="14">
      <colorScale>
        <cfvo type="min"/>
        <cfvo type="max"/>
        <color rgb="FFB7FCFF"/>
        <color rgb="FFFB2DE2"/>
      </colorScale>
    </cfRule>
  </conditionalFormatting>
  <conditionalFormatting sqref="J2:L14">
    <cfRule type="colorScale" priority="2">
      <colorScale>
        <cfvo type="min"/>
        <cfvo type="max"/>
        <color rgb="FFFEF3B4"/>
        <color rgb="FF3FF6FF"/>
      </colorScale>
    </cfRule>
  </conditionalFormatting>
  <conditionalFormatting sqref="K18:K30">
    <cfRule type="colorScale" priority="9">
      <colorScale>
        <cfvo type="min"/>
        <cfvo type="max"/>
        <color rgb="FFB7FCFF"/>
        <color rgb="FFFB2DE2"/>
      </colorScale>
    </cfRule>
  </conditionalFormatting>
  <conditionalFormatting sqref="M18:M30">
    <cfRule type="colorScale" priority="15">
      <colorScale>
        <cfvo type="min"/>
        <cfvo type="max"/>
        <color rgb="FFB7FCFF"/>
        <color rgb="FFFB2DE2"/>
      </colorScale>
    </cfRule>
  </conditionalFormatting>
  <conditionalFormatting sqref="M2:O14">
    <cfRule type="colorScale" priority="1">
      <colorScale>
        <cfvo type="min"/>
        <cfvo type="max"/>
        <color rgb="FFFEF3B4"/>
        <color rgb="FF3FF6FF"/>
      </colorScale>
    </cfRule>
  </conditionalFormatting>
  <conditionalFormatting sqref="N18:N30">
    <cfRule type="colorScale" priority="8">
      <colorScale>
        <cfvo type="min"/>
        <cfvo type="max"/>
        <color rgb="FFB7FCFF"/>
        <color rgb="FFFB2DE2"/>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41E7-5332-4A14-9206-0BD64FAA34D5}">
  <dimension ref="A1:AF34"/>
  <sheetViews>
    <sheetView workbookViewId="0">
      <pane xSplit="1" ySplit="1" topLeftCell="K2" activePane="bottomRight" state="frozen"/>
      <selection pane="topRight" activeCell="B1" sqref="B1"/>
      <selection pane="bottomLeft" activeCell="A2" sqref="A2"/>
      <selection pane="bottomRight" activeCell="AE2" sqref="AE2"/>
    </sheetView>
  </sheetViews>
  <sheetFormatPr defaultRowHeight="14.25" x14ac:dyDescent="0.45"/>
  <cols>
    <col min="1" max="1" width="8.796875" bestFit="1" customWidth="1"/>
    <col min="2" max="3" width="11.796875" customWidth="1"/>
    <col min="4" max="4" width="24.33203125" customWidth="1"/>
    <col min="5" max="5" width="43.06640625" customWidth="1"/>
    <col min="6" max="6" width="11.73046875" customWidth="1"/>
    <col min="7" max="7" width="12.33203125" customWidth="1"/>
    <col min="8" max="8" width="12.06640625" customWidth="1"/>
    <col min="9" max="9" width="24.33203125" customWidth="1"/>
    <col min="10" max="10" width="10.796875" customWidth="1"/>
    <col min="11" max="11" width="10.06640625" bestFit="1" customWidth="1"/>
    <col min="12" max="12" width="18.59765625" bestFit="1" customWidth="1"/>
    <col min="13" max="13" width="9.06640625" hidden="1" customWidth="1"/>
    <col min="14" max="14" width="11.796875" hidden="1" customWidth="1"/>
    <col min="15" max="16" width="9.796875" hidden="1" customWidth="1"/>
    <col min="17" max="17" width="11.796875" hidden="1" customWidth="1"/>
    <col min="18" max="21" width="17.33203125" hidden="1" customWidth="1"/>
    <col min="22" max="22" width="14.33203125" hidden="1" customWidth="1"/>
    <col min="23" max="23" width="16.265625" hidden="1" customWidth="1"/>
    <col min="24" max="24" width="18.796875" hidden="1" customWidth="1"/>
    <col min="25" max="26" width="21.73046875" hidden="1" customWidth="1"/>
    <col min="27" max="27" width="15.265625" bestFit="1" customWidth="1"/>
    <col min="28" max="28" width="17" bestFit="1" customWidth="1"/>
    <col min="29" max="30" width="23" bestFit="1" customWidth="1"/>
    <col min="31" max="31" width="19.796875" bestFit="1" customWidth="1"/>
  </cols>
  <sheetData>
    <row r="1" spans="1:31" x14ac:dyDescent="0.45">
      <c r="A1" s="1" t="s">
        <v>214</v>
      </c>
      <c r="B1" s="1" t="s">
        <v>215</v>
      </c>
      <c r="C1" s="1" t="s">
        <v>216</v>
      </c>
      <c r="D1" s="1" t="s">
        <v>217</v>
      </c>
      <c r="E1" s="1" t="s">
        <v>218</v>
      </c>
      <c r="F1" s="1" t="s">
        <v>219</v>
      </c>
      <c r="G1" s="1" t="s">
        <v>220</v>
      </c>
      <c r="H1" s="1" t="s">
        <v>221</v>
      </c>
      <c r="I1" s="1" t="s">
        <v>222</v>
      </c>
      <c r="J1" s="1" t="s">
        <v>223</v>
      </c>
      <c r="K1" s="1" t="s">
        <v>224</v>
      </c>
      <c r="L1" s="1" t="s">
        <v>225</v>
      </c>
      <c r="M1" s="1" t="s">
        <v>1</v>
      </c>
      <c r="N1" s="1" t="s">
        <v>226</v>
      </c>
      <c r="O1" s="1" t="s">
        <v>227</v>
      </c>
      <c r="P1" s="1" t="s">
        <v>228</v>
      </c>
      <c r="Q1" s="1" t="s">
        <v>229</v>
      </c>
      <c r="R1" s="1" t="s">
        <v>230</v>
      </c>
      <c r="S1" s="1" t="s">
        <v>231</v>
      </c>
      <c r="T1" s="1" t="s">
        <v>232</v>
      </c>
      <c r="U1" s="1" t="s">
        <v>233</v>
      </c>
      <c r="V1" s="1" t="s">
        <v>234</v>
      </c>
      <c r="W1" s="1" t="s">
        <v>235</v>
      </c>
      <c r="X1" s="1" t="s">
        <v>237</v>
      </c>
      <c r="Y1" s="1" t="s">
        <v>238</v>
      </c>
      <c r="Z1" s="1" t="s">
        <v>236</v>
      </c>
      <c r="AA1" s="1" t="s">
        <v>307</v>
      </c>
      <c r="AB1" s="1" t="s">
        <v>308</v>
      </c>
      <c r="AC1" s="1" t="s">
        <v>309</v>
      </c>
      <c r="AD1" s="1" t="s">
        <v>310</v>
      </c>
      <c r="AE1" s="1" t="s">
        <v>311</v>
      </c>
    </row>
    <row r="2" spans="1:31" x14ac:dyDescent="0.45">
      <c r="A2">
        <v>157</v>
      </c>
      <c r="B2">
        <v>0.83897135133523704</v>
      </c>
      <c r="C2">
        <v>1.1833671127305E-2</v>
      </c>
      <c r="D2" t="s">
        <v>239</v>
      </c>
      <c r="E2" t="s">
        <v>240</v>
      </c>
      <c r="F2" t="s">
        <v>241</v>
      </c>
      <c r="G2" t="s">
        <v>242</v>
      </c>
      <c r="H2" t="s">
        <v>243</v>
      </c>
      <c r="I2" t="s">
        <v>239</v>
      </c>
      <c r="J2" t="s">
        <v>244</v>
      </c>
      <c r="K2" t="s">
        <v>245</v>
      </c>
      <c r="L2" t="s">
        <v>246</v>
      </c>
      <c r="M2">
        <v>144.81299999999999</v>
      </c>
      <c r="N2">
        <v>235279797.14619881</v>
      </c>
      <c r="O2">
        <v>41561852</v>
      </c>
      <c r="P2">
        <v>524833984</v>
      </c>
      <c r="Q2">
        <v>82771044.255029351</v>
      </c>
      <c r="R2">
        <v>172169264</v>
      </c>
      <c r="S2">
        <v>280812896</v>
      </c>
      <c r="T2">
        <v>519342208</v>
      </c>
      <c r="U2">
        <v>793927680</v>
      </c>
      <c r="V2">
        <v>171</v>
      </c>
      <c r="W2">
        <v>0</v>
      </c>
      <c r="X2">
        <v>0</v>
      </c>
      <c r="Y2">
        <v>0</v>
      </c>
      <c r="Z2">
        <v>171</v>
      </c>
      <c r="AA2">
        <v>171</v>
      </c>
      <c r="AB2">
        <v>0</v>
      </c>
      <c r="AC2">
        <v>0</v>
      </c>
      <c r="AD2">
        <v>0</v>
      </c>
      <c r="AE2">
        <v>171</v>
      </c>
    </row>
    <row r="3" spans="1:31" x14ac:dyDescent="0.45">
      <c r="A3">
        <v>158</v>
      </c>
      <c r="B3">
        <v>1.0211134755471609</v>
      </c>
      <c r="C3">
        <v>1.5089248424184999E-2</v>
      </c>
      <c r="D3" t="s">
        <v>247</v>
      </c>
      <c r="E3" t="s">
        <v>248</v>
      </c>
      <c r="F3" t="s">
        <v>249</v>
      </c>
      <c r="G3" t="s">
        <v>242</v>
      </c>
      <c r="H3" t="s">
        <v>243</v>
      </c>
      <c r="I3" t="s">
        <v>247</v>
      </c>
      <c r="J3" t="s">
        <v>244</v>
      </c>
      <c r="K3" t="s">
        <v>250</v>
      </c>
      <c r="L3" t="s">
        <v>251</v>
      </c>
      <c r="M3">
        <v>184.65799999999999</v>
      </c>
      <c r="N3">
        <v>228684932.74074069</v>
      </c>
      <c r="O3">
        <v>15314841</v>
      </c>
      <c r="P3">
        <v>409083200</v>
      </c>
      <c r="Q3">
        <v>93145498.451610729</v>
      </c>
      <c r="R3">
        <v>153900144</v>
      </c>
      <c r="S3">
        <v>300091632</v>
      </c>
      <c r="T3">
        <v>376071048</v>
      </c>
      <c r="U3">
        <v>706726048</v>
      </c>
      <c r="V3">
        <v>216</v>
      </c>
      <c r="W3">
        <v>0</v>
      </c>
      <c r="X3">
        <v>1</v>
      </c>
      <c r="Y3">
        <v>0</v>
      </c>
      <c r="Z3">
        <v>216</v>
      </c>
      <c r="AA3">
        <v>216</v>
      </c>
      <c r="AB3">
        <v>0</v>
      </c>
      <c r="AC3">
        <v>0</v>
      </c>
      <c r="AD3">
        <v>0</v>
      </c>
      <c r="AE3">
        <v>216</v>
      </c>
    </row>
    <row r="4" spans="1:31" x14ac:dyDescent="0.45">
      <c r="A4">
        <v>159</v>
      </c>
      <c r="B4">
        <v>0.38375891175516402</v>
      </c>
      <c r="C4">
        <v>3.9125314346049999E-3</v>
      </c>
      <c r="D4" t="s">
        <v>252</v>
      </c>
      <c r="E4" t="s">
        <v>253</v>
      </c>
      <c r="F4" t="s">
        <v>254</v>
      </c>
      <c r="G4" t="s">
        <v>242</v>
      </c>
      <c r="H4" t="s">
        <v>243</v>
      </c>
      <c r="I4" t="s">
        <v>252</v>
      </c>
      <c r="J4" t="s">
        <v>244</v>
      </c>
      <c r="K4" t="s">
        <v>255</v>
      </c>
      <c r="L4" t="s">
        <v>256</v>
      </c>
      <c r="M4">
        <v>47.887</v>
      </c>
      <c r="N4">
        <v>325516553.48148149</v>
      </c>
      <c r="O4">
        <v>145270640</v>
      </c>
      <c r="P4">
        <v>524833984</v>
      </c>
      <c r="Q4">
        <v>72198031.055028751</v>
      </c>
      <c r="R4">
        <v>270587636</v>
      </c>
      <c r="S4">
        <v>356088072</v>
      </c>
      <c r="T4">
        <v>646499808</v>
      </c>
      <c r="U4">
        <v>885349760</v>
      </c>
      <c r="V4">
        <v>54</v>
      </c>
      <c r="W4">
        <v>0</v>
      </c>
      <c r="X4">
        <v>0</v>
      </c>
      <c r="Y4">
        <v>0</v>
      </c>
      <c r="Z4">
        <v>54</v>
      </c>
      <c r="AA4">
        <v>54</v>
      </c>
      <c r="AB4">
        <v>0</v>
      </c>
      <c r="AC4">
        <v>0</v>
      </c>
      <c r="AD4">
        <v>0</v>
      </c>
      <c r="AE4">
        <v>54</v>
      </c>
    </row>
    <row r="5" spans="1:31" x14ac:dyDescent="0.45">
      <c r="A5">
        <v>160</v>
      </c>
      <c r="B5">
        <v>0.59033987536144195</v>
      </c>
      <c r="C5">
        <v>1.025101773244E-2</v>
      </c>
      <c r="D5" t="s">
        <v>257</v>
      </c>
      <c r="E5" t="s">
        <v>258</v>
      </c>
      <c r="F5" t="s">
        <v>259</v>
      </c>
      <c r="G5" t="s">
        <v>242</v>
      </c>
      <c r="H5" t="s">
        <v>243</v>
      </c>
      <c r="I5" t="s">
        <v>257</v>
      </c>
      <c r="J5" t="s">
        <v>244</v>
      </c>
      <c r="K5" t="s">
        <v>260</v>
      </c>
      <c r="L5" t="s">
        <v>261</v>
      </c>
      <c r="M5">
        <v>125.47</v>
      </c>
      <c r="N5">
        <v>256938633.71034479</v>
      </c>
      <c r="O5">
        <v>55959188</v>
      </c>
      <c r="P5">
        <v>650119488</v>
      </c>
      <c r="Q5">
        <v>106584236.9240364</v>
      </c>
      <c r="R5">
        <v>172178512</v>
      </c>
      <c r="S5">
        <v>333267744</v>
      </c>
      <c r="T5">
        <v>499019648</v>
      </c>
      <c r="U5">
        <v>1012431744</v>
      </c>
      <c r="V5">
        <v>145</v>
      </c>
      <c r="W5">
        <v>0</v>
      </c>
      <c r="X5">
        <v>0</v>
      </c>
      <c r="Y5">
        <v>0</v>
      </c>
      <c r="Z5">
        <v>145</v>
      </c>
      <c r="AA5">
        <v>145</v>
      </c>
      <c r="AB5">
        <v>0</v>
      </c>
      <c r="AC5">
        <v>0</v>
      </c>
      <c r="AD5">
        <v>0</v>
      </c>
      <c r="AE5">
        <v>145</v>
      </c>
    </row>
    <row r="6" spans="1:31" x14ac:dyDescent="0.45">
      <c r="A6">
        <v>161</v>
      </c>
      <c r="B6">
        <v>1.1430046573717041</v>
      </c>
      <c r="C6">
        <v>1.1458928217355E-2</v>
      </c>
      <c r="D6" t="s">
        <v>262</v>
      </c>
      <c r="E6" t="s">
        <v>263</v>
      </c>
      <c r="F6" t="s">
        <v>264</v>
      </c>
      <c r="G6" t="s">
        <v>242</v>
      </c>
      <c r="H6" t="s">
        <v>243</v>
      </c>
      <c r="I6" t="s">
        <v>262</v>
      </c>
      <c r="J6" t="s">
        <v>244</v>
      </c>
      <c r="K6" t="s">
        <v>265</v>
      </c>
      <c r="L6" t="s">
        <v>266</v>
      </c>
      <c r="M6">
        <v>140.26400000000001</v>
      </c>
      <c r="N6">
        <v>142433030.24390239</v>
      </c>
      <c r="O6">
        <v>81139</v>
      </c>
      <c r="P6">
        <v>360638496</v>
      </c>
      <c r="Q6">
        <v>92679553.702197075</v>
      </c>
      <c r="R6">
        <v>60355049</v>
      </c>
      <c r="S6">
        <v>211320432</v>
      </c>
      <c r="T6">
        <v>221094584</v>
      </c>
      <c r="U6">
        <v>633458720</v>
      </c>
      <c r="V6">
        <v>164</v>
      </c>
      <c r="W6">
        <v>0</v>
      </c>
      <c r="X6">
        <v>17</v>
      </c>
      <c r="Y6">
        <v>10</v>
      </c>
      <c r="Z6">
        <v>151</v>
      </c>
      <c r="AA6">
        <v>164</v>
      </c>
      <c r="AB6">
        <v>0</v>
      </c>
      <c r="AC6">
        <v>14</v>
      </c>
      <c r="AD6">
        <v>5</v>
      </c>
      <c r="AE6">
        <v>156</v>
      </c>
    </row>
    <row r="7" spans="1:31" x14ac:dyDescent="0.45">
      <c r="A7">
        <v>162</v>
      </c>
      <c r="B7">
        <v>4.450342449247576</v>
      </c>
      <c r="C7">
        <v>0.24474031079665401</v>
      </c>
      <c r="D7" t="s">
        <v>267</v>
      </c>
      <c r="E7" t="s">
        <v>268</v>
      </c>
      <c r="F7" t="s">
        <v>269</v>
      </c>
      <c r="G7" t="s">
        <v>242</v>
      </c>
      <c r="H7" t="s">
        <v>270</v>
      </c>
      <c r="I7" t="s">
        <v>267</v>
      </c>
      <c r="J7" t="s">
        <v>244</v>
      </c>
      <c r="K7" t="s">
        <v>271</v>
      </c>
      <c r="L7" t="s">
        <v>77</v>
      </c>
      <c r="M7">
        <v>2993.32</v>
      </c>
      <c r="N7">
        <v>4407566.7859569648</v>
      </c>
      <c r="O7">
        <v>0</v>
      </c>
      <c r="P7">
        <v>85033160</v>
      </c>
      <c r="Q7">
        <v>9505447.7654125001</v>
      </c>
      <c r="R7">
        <v>15601.25</v>
      </c>
      <c r="S7">
        <v>3183355.5</v>
      </c>
      <c r="T7">
        <v>103656</v>
      </c>
      <c r="U7">
        <v>9834196.25</v>
      </c>
      <c r="V7">
        <v>3532</v>
      </c>
      <c r="W7">
        <v>887</v>
      </c>
      <c r="X7">
        <v>2417</v>
      </c>
      <c r="Y7">
        <v>877</v>
      </c>
      <c r="Z7">
        <v>520</v>
      </c>
      <c r="AA7">
        <v>3532</v>
      </c>
      <c r="AB7">
        <v>870</v>
      </c>
      <c r="AC7">
        <v>2446</v>
      </c>
      <c r="AD7">
        <v>897</v>
      </c>
      <c r="AE7">
        <v>498</v>
      </c>
    </row>
    <row r="8" spans="1:31" x14ac:dyDescent="0.45">
      <c r="A8">
        <v>177</v>
      </c>
      <c r="B8">
        <v>2.553369011767217</v>
      </c>
      <c r="C8">
        <v>0.103597394842535</v>
      </c>
      <c r="D8" t="s">
        <v>272</v>
      </c>
      <c r="E8" t="s">
        <v>273</v>
      </c>
      <c r="F8" t="s">
        <v>274</v>
      </c>
      <c r="G8" t="s">
        <v>242</v>
      </c>
      <c r="H8" t="s">
        <v>270</v>
      </c>
      <c r="I8" t="s">
        <v>272</v>
      </c>
      <c r="J8" t="s">
        <v>244</v>
      </c>
      <c r="K8" t="s">
        <v>275</v>
      </c>
      <c r="L8" t="s">
        <v>79</v>
      </c>
      <c r="M8">
        <v>1267.8879999999999</v>
      </c>
      <c r="N8">
        <v>6656698.997304582</v>
      </c>
      <c r="O8">
        <v>0</v>
      </c>
      <c r="P8">
        <v>92656864</v>
      </c>
      <c r="Q8">
        <v>11272867.25350807</v>
      </c>
      <c r="R8">
        <v>251359</v>
      </c>
      <c r="S8">
        <v>6803941.25</v>
      </c>
      <c r="T8">
        <v>1563638.75</v>
      </c>
      <c r="U8">
        <v>30618791.5</v>
      </c>
      <c r="V8">
        <v>1484</v>
      </c>
      <c r="W8">
        <v>194</v>
      </c>
      <c r="X8">
        <v>1123</v>
      </c>
      <c r="Y8">
        <v>551</v>
      </c>
      <c r="Z8">
        <v>319</v>
      </c>
      <c r="AA8">
        <v>1484</v>
      </c>
      <c r="AB8">
        <v>177</v>
      </c>
      <c r="AC8">
        <v>1101</v>
      </c>
      <c r="AD8">
        <v>605</v>
      </c>
      <c r="AE8">
        <v>372</v>
      </c>
    </row>
    <row r="9" spans="1:31" x14ac:dyDescent="0.45">
      <c r="A9">
        <v>180</v>
      </c>
      <c r="B9">
        <v>0.675656604853211</v>
      </c>
      <c r="C9">
        <v>9.1366955482949999E-3</v>
      </c>
      <c r="D9" t="s">
        <v>276</v>
      </c>
      <c r="E9" t="s">
        <v>277</v>
      </c>
      <c r="F9" t="s">
        <v>278</v>
      </c>
      <c r="G9" t="s">
        <v>242</v>
      </c>
      <c r="H9" t="s">
        <v>270</v>
      </c>
      <c r="I9" t="s">
        <v>276</v>
      </c>
      <c r="J9" t="s">
        <v>244</v>
      </c>
      <c r="K9" t="s">
        <v>279</v>
      </c>
      <c r="L9" t="s">
        <v>81</v>
      </c>
      <c r="M9">
        <v>111.74</v>
      </c>
      <c r="N9">
        <v>42910215.937984496</v>
      </c>
      <c r="O9">
        <v>2102057</v>
      </c>
      <c r="P9">
        <v>106628904</v>
      </c>
      <c r="Q9">
        <v>25954800.484190881</v>
      </c>
      <c r="R9">
        <v>19434828</v>
      </c>
      <c r="S9">
        <v>67418120</v>
      </c>
      <c r="T9">
        <v>53587884</v>
      </c>
      <c r="U9">
        <v>158699872</v>
      </c>
      <c r="V9">
        <v>129</v>
      </c>
      <c r="W9">
        <v>0</v>
      </c>
      <c r="X9">
        <v>39</v>
      </c>
      <c r="Y9">
        <v>14</v>
      </c>
      <c r="Z9">
        <v>115</v>
      </c>
      <c r="AA9">
        <v>129</v>
      </c>
      <c r="AB9">
        <v>0</v>
      </c>
      <c r="AC9">
        <v>35</v>
      </c>
      <c r="AD9">
        <v>14</v>
      </c>
      <c r="AE9">
        <v>115</v>
      </c>
    </row>
    <row r="10" spans="1:31" x14ac:dyDescent="0.45">
      <c r="A10">
        <v>184</v>
      </c>
      <c r="B10">
        <v>1.194424824831182</v>
      </c>
      <c r="C10">
        <v>1.7495265351269999E-2</v>
      </c>
      <c r="D10" t="s">
        <v>280</v>
      </c>
      <c r="E10" t="s">
        <v>281</v>
      </c>
      <c r="F10" t="s">
        <v>282</v>
      </c>
      <c r="G10" t="s">
        <v>242</v>
      </c>
      <c r="H10" t="s">
        <v>270</v>
      </c>
      <c r="I10" t="s">
        <v>280</v>
      </c>
      <c r="J10" t="s">
        <v>244</v>
      </c>
      <c r="K10" t="s">
        <v>283</v>
      </c>
      <c r="L10" t="s">
        <v>83</v>
      </c>
      <c r="M10">
        <v>214.09200000000001</v>
      </c>
      <c r="N10">
        <v>78407200</v>
      </c>
      <c r="O10">
        <v>6051658</v>
      </c>
      <c r="P10">
        <v>271802592</v>
      </c>
      <c r="Q10">
        <v>53588833.472565301</v>
      </c>
      <c r="R10">
        <v>39132888</v>
      </c>
      <c r="S10">
        <v>111801400</v>
      </c>
      <c r="T10">
        <v>139674244</v>
      </c>
      <c r="U10">
        <v>370323960</v>
      </c>
      <c r="V10">
        <v>256</v>
      </c>
      <c r="W10">
        <v>0</v>
      </c>
      <c r="X10">
        <v>31</v>
      </c>
      <c r="Y10">
        <v>5</v>
      </c>
      <c r="Z10">
        <v>251</v>
      </c>
      <c r="AA10">
        <v>256</v>
      </c>
      <c r="AB10">
        <v>0</v>
      </c>
      <c r="AC10">
        <v>15</v>
      </c>
      <c r="AD10">
        <v>1</v>
      </c>
      <c r="AE10">
        <v>255</v>
      </c>
    </row>
    <row r="11" spans="1:31" x14ac:dyDescent="0.45">
      <c r="A11">
        <v>185</v>
      </c>
      <c r="B11">
        <v>1.0599247639856739</v>
      </c>
      <c r="C11">
        <v>1.6325341521325001E-2</v>
      </c>
      <c r="D11" t="s">
        <v>284</v>
      </c>
      <c r="E11" t="s">
        <v>285</v>
      </c>
      <c r="F11" t="s">
        <v>286</v>
      </c>
      <c r="G11" t="s">
        <v>242</v>
      </c>
      <c r="H11" t="s">
        <v>270</v>
      </c>
      <c r="I11" t="s">
        <v>284</v>
      </c>
      <c r="J11" t="s">
        <v>244</v>
      </c>
      <c r="K11" t="s">
        <v>287</v>
      </c>
      <c r="L11" t="s">
        <v>288</v>
      </c>
      <c r="M11">
        <v>199.732</v>
      </c>
      <c r="N11">
        <v>40941550.789915957</v>
      </c>
      <c r="O11">
        <v>134929</v>
      </c>
      <c r="P11">
        <v>175853696</v>
      </c>
      <c r="Q11">
        <v>32593675.679026511</v>
      </c>
      <c r="R11">
        <v>20363290</v>
      </c>
      <c r="S11">
        <v>51720508</v>
      </c>
      <c r="T11">
        <v>95611268</v>
      </c>
      <c r="U11">
        <v>212873940</v>
      </c>
      <c r="V11">
        <v>238</v>
      </c>
      <c r="W11">
        <v>0</v>
      </c>
      <c r="X11">
        <v>67</v>
      </c>
      <c r="Y11">
        <v>12</v>
      </c>
      <c r="Z11">
        <v>224</v>
      </c>
      <c r="AA11">
        <v>238</v>
      </c>
      <c r="AB11">
        <v>0</v>
      </c>
      <c r="AC11">
        <v>37</v>
      </c>
      <c r="AD11">
        <v>9</v>
      </c>
      <c r="AE11">
        <v>227</v>
      </c>
    </row>
    <row r="12" spans="1:31" x14ac:dyDescent="0.45">
      <c r="A12">
        <v>269</v>
      </c>
      <c r="B12">
        <v>2.2885028363638562</v>
      </c>
      <c r="C12">
        <v>8.3877556924898997E-2</v>
      </c>
      <c r="D12" t="s">
        <v>289</v>
      </c>
      <c r="E12" t="s">
        <v>290</v>
      </c>
      <c r="F12" t="s">
        <v>291</v>
      </c>
      <c r="G12" t="s">
        <v>242</v>
      </c>
      <c r="H12" t="s">
        <v>292</v>
      </c>
      <c r="I12" t="s">
        <v>289</v>
      </c>
      <c r="J12" t="s">
        <v>244</v>
      </c>
      <c r="K12" t="s">
        <v>293</v>
      </c>
      <c r="L12" t="s">
        <v>87</v>
      </c>
      <c r="M12">
        <v>1026.623</v>
      </c>
      <c r="N12">
        <v>9410658.0066006593</v>
      </c>
      <c r="O12">
        <v>0</v>
      </c>
      <c r="P12">
        <v>215261184</v>
      </c>
      <c r="Q12">
        <v>16276390.53756387</v>
      </c>
      <c r="R12">
        <v>1397458</v>
      </c>
      <c r="S12">
        <v>10483023.75</v>
      </c>
      <c r="T12">
        <v>5235945</v>
      </c>
      <c r="U12">
        <v>43662070</v>
      </c>
      <c r="V12">
        <v>1212</v>
      </c>
      <c r="W12">
        <v>51</v>
      </c>
      <c r="X12">
        <v>1004</v>
      </c>
      <c r="Y12">
        <v>625</v>
      </c>
      <c r="Z12">
        <v>343</v>
      </c>
      <c r="AA12">
        <v>1212</v>
      </c>
      <c r="AB12">
        <v>52</v>
      </c>
      <c r="AC12">
        <v>949</v>
      </c>
      <c r="AD12">
        <v>634</v>
      </c>
      <c r="AE12">
        <v>381</v>
      </c>
    </row>
    <row r="13" spans="1:31" x14ac:dyDescent="0.45">
      <c r="A13">
        <v>271</v>
      </c>
      <c r="B13">
        <v>0.834867362963301</v>
      </c>
      <c r="C13">
        <v>1.4826513639071E-2</v>
      </c>
      <c r="D13" t="s">
        <v>294</v>
      </c>
      <c r="E13" t="s">
        <v>295</v>
      </c>
      <c r="F13" t="s">
        <v>296</v>
      </c>
      <c r="G13" t="s">
        <v>242</v>
      </c>
      <c r="H13" t="s">
        <v>292</v>
      </c>
      <c r="I13" t="s">
        <v>294</v>
      </c>
      <c r="J13" t="s">
        <v>244</v>
      </c>
      <c r="K13" t="s">
        <v>297</v>
      </c>
      <c r="L13" t="s">
        <v>89</v>
      </c>
      <c r="M13">
        <v>181.46700000000001</v>
      </c>
      <c r="N13">
        <v>50612566.899082571</v>
      </c>
      <c r="O13">
        <v>238042</v>
      </c>
      <c r="P13">
        <v>222674560</v>
      </c>
      <c r="Q13">
        <v>37565114.10537336</v>
      </c>
      <c r="R13">
        <v>24704910</v>
      </c>
      <c r="S13">
        <v>68962398</v>
      </c>
      <c r="T13">
        <v>91857090</v>
      </c>
      <c r="U13">
        <v>270923168</v>
      </c>
      <c r="V13">
        <v>218</v>
      </c>
      <c r="W13">
        <v>0</v>
      </c>
      <c r="X13">
        <v>41</v>
      </c>
      <c r="Y13">
        <v>18</v>
      </c>
      <c r="Z13">
        <v>197</v>
      </c>
      <c r="AA13">
        <v>218</v>
      </c>
      <c r="AB13">
        <v>0</v>
      </c>
      <c r="AC13">
        <v>31</v>
      </c>
      <c r="AD13">
        <v>14</v>
      </c>
      <c r="AE13">
        <v>202</v>
      </c>
    </row>
    <row r="14" spans="1:31" x14ac:dyDescent="0.45">
      <c r="A14">
        <v>274</v>
      </c>
      <c r="B14">
        <v>0.67872835795069597</v>
      </c>
      <c r="C14">
        <v>1.3434741047570999E-2</v>
      </c>
      <c r="D14" t="s">
        <v>298</v>
      </c>
      <c r="E14" t="s">
        <v>299</v>
      </c>
      <c r="F14" t="s">
        <v>300</v>
      </c>
      <c r="G14" t="s">
        <v>242</v>
      </c>
      <c r="H14" t="s">
        <v>292</v>
      </c>
      <c r="I14" t="s">
        <v>298</v>
      </c>
      <c r="J14" t="s">
        <v>244</v>
      </c>
      <c r="K14" t="s">
        <v>301</v>
      </c>
      <c r="L14" t="s">
        <v>91</v>
      </c>
      <c r="M14">
        <v>164.39599999999999</v>
      </c>
      <c r="N14">
        <v>48050899.134020619</v>
      </c>
      <c r="O14">
        <v>428038</v>
      </c>
      <c r="P14">
        <v>164782384</v>
      </c>
      <c r="Q14">
        <v>33964968.807818063</v>
      </c>
      <c r="R14">
        <v>25012170</v>
      </c>
      <c r="S14">
        <v>57597388</v>
      </c>
      <c r="T14">
        <v>110405188</v>
      </c>
      <c r="U14">
        <v>233731608</v>
      </c>
      <c r="V14">
        <v>194</v>
      </c>
      <c r="W14">
        <v>0</v>
      </c>
      <c r="X14">
        <v>36</v>
      </c>
      <c r="Y14">
        <v>5</v>
      </c>
      <c r="Z14">
        <v>188</v>
      </c>
      <c r="AA14">
        <v>194</v>
      </c>
      <c r="AB14">
        <v>0</v>
      </c>
      <c r="AC14">
        <v>18</v>
      </c>
      <c r="AD14">
        <v>3</v>
      </c>
      <c r="AE14">
        <v>191</v>
      </c>
    </row>
    <row r="16" spans="1:31" x14ac:dyDescent="0.45">
      <c r="A16" t="s">
        <v>302</v>
      </c>
      <c r="V16">
        <f>SUM(V2:V14)</f>
        <v>8013</v>
      </c>
      <c r="W16">
        <f t="shared" ref="W16:Z16" si="0">SUM(W2:W14)</f>
        <v>1132</v>
      </c>
      <c r="X16">
        <f t="shared" si="0"/>
        <v>4776</v>
      </c>
      <c r="Y16">
        <f t="shared" si="0"/>
        <v>2117</v>
      </c>
      <c r="Z16">
        <f t="shared" si="0"/>
        <v>2894</v>
      </c>
      <c r="AA16">
        <f>SUM(AA2:AA14)</f>
        <v>8013</v>
      </c>
      <c r="AB16">
        <f t="shared" ref="AB16:AE16" si="1">SUM(AB2:AB14)</f>
        <v>1099</v>
      </c>
      <c r="AC16">
        <f t="shared" si="1"/>
        <v>4646</v>
      </c>
      <c r="AD16">
        <f t="shared" si="1"/>
        <v>2182</v>
      </c>
      <c r="AE16">
        <f t="shared" si="1"/>
        <v>2983</v>
      </c>
    </row>
    <row r="17" spans="1:32" x14ac:dyDescent="0.45">
      <c r="A17" t="s">
        <v>303</v>
      </c>
      <c r="V17">
        <f>MIN(V2:V14)</f>
        <v>54</v>
      </c>
      <c r="W17">
        <f t="shared" ref="W17:Z17" si="2">MIN(W2:W14)</f>
        <v>0</v>
      </c>
      <c r="X17">
        <f t="shared" si="2"/>
        <v>0</v>
      </c>
      <c r="Y17">
        <f t="shared" si="2"/>
        <v>0</v>
      </c>
      <c r="Z17">
        <f t="shared" si="2"/>
        <v>54</v>
      </c>
      <c r="AA17">
        <f>MIN(AA2:AA14)</f>
        <v>54</v>
      </c>
      <c r="AB17">
        <f t="shared" ref="AB17:AE17" si="3">MIN(AB2:AB14)</f>
        <v>0</v>
      </c>
      <c r="AC17">
        <f t="shared" si="3"/>
        <v>0</v>
      </c>
      <c r="AD17">
        <f t="shared" si="3"/>
        <v>0</v>
      </c>
      <c r="AE17">
        <f t="shared" si="3"/>
        <v>54</v>
      </c>
    </row>
    <row r="18" spans="1:32" x14ac:dyDescent="0.45">
      <c r="A18" t="s">
        <v>304</v>
      </c>
      <c r="V18">
        <f>MAX(V2:V14)</f>
        <v>3532</v>
      </c>
      <c r="W18">
        <f t="shared" ref="W18:Z18" si="4">MAX(W2:W14)</f>
        <v>887</v>
      </c>
      <c r="X18">
        <f t="shared" si="4"/>
        <v>2417</v>
      </c>
      <c r="Y18">
        <f t="shared" si="4"/>
        <v>877</v>
      </c>
      <c r="Z18">
        <f t="shared" si="4"/>
        <v>520</v>
      </c>
      <c r="AA18">
        <f>MAX(AA2:AA14)</f>
        <v>3532</v>
      </c>
      <c r="AB18">
        <f t="shared" ref="AB18:AE18" si="5">MAX(AB2:AB14)</f>
        <v>870</v>
      </c>
      <c r="AC18">
        <f t="shared" si="5"/>
        <v>2446</v>
      </c>
      <c r="AD18">
        <f t="shared" si="5"/>
        <v>897</v>
      </c>
      <c r="AE18">
        <f t="shared" si="5"/>
        <v>498</v>
      </c>
    </row>
    <row r="19" spans="1:32" x14ac:dyDescent="0.45">
      <c r="A19" t="s">
        <v>317</v>
      </c>
      <c r="V19" s="44">
        <f>V16/$V16</f>
        <v>1</v>
      </c>
      <c r="W19" s="44">
        <f t="shared" ref="W19:Z19" si="6">W16/$V16</f>
        <v>0.14127043554224386</v>
      </c>
      <c r="X19" s="44">
        <f t="shared" si="6"/>
        <v>0.59603144889554471</v>
      </c>
      <c r="Y19" s="44">
        <f t="shared" si="6"/>
        <v>0.26419568201672283</v>
      </c>
      <c r="Z19" s="44">
        <f t="shared" si="6"/>
        <v>0.36116310994633721</v>
      </c>
      <c r="AB19" s="44">
        <f>SUM(AB2:AB14)/SUM($AB$2:$AE$14)</f>
        <v>0.10073327222731439</v>
      </c>
      <c r="AC19" s="44">
        <f t="shared" ref="AC19:AE19" si="7">SUM(AC2:AC14)/SUM($AB$2:$AE$14)</f>
        <v>0.42584784601283227</v>
      </c>
      <c r="AD19" s="44">
        <f t="shared" si="7"/>
        <v>0.2</v>
      </c>
      <c r="AE19" s="44">
        <f t="shared" si="7"/>
        <v>0.27341888175985335</v>
      </c>
    </row>
    <row r="20" spans="1:32" x14ac:dyDescent="0.45">
      <c r="A20" t="s">
        <v>305</v>
      </c>
      <c r="V20" s="44">
        <f>V17/$V17</f>
        <v>1</v>
      </c>
      <c r="W20" s="44">
        <f t="shared" ref="W20:Z20" si="8">W17/$V17</f>
        <v>0</v>
      </c>
      <c r="X20" s="44">
        <f t="shared" si="8"/>
        <v>0</v>
      </c>
      <c r="Y20" s="44">
        <f t="shared" si="8"/>
        <v>0</v>
      </c>
      <c r="Z20" s="44">
        <f t="shared" si="8"/>
        <v>1</v>
      </c>
      <c r="AA20" s="44"/>
      <c r="AB20" s="44">
        <f>MIN(AB23:AB34)</f>
        <v>0</v>
      </c>
      <c r="AC20" s="44">
        <f>MIN(AC23:AC34)</f>
        <v>0</v>
      </c>
      <c r="AD20" s="44">
        <f>MIN(AD23:AD34)</f>
        <v>0</v>
      </c>
      <c r="AE20" s="44">
        <f>MIN(AE23:AE34)</f>
        <v>0.10571004033113988</v>
      </c>
    </row>
    <row r="21" spans="1:32" x14ac:dyDescent="0.45">
      <c r="A21" t="s">
        <v>306</v>
      </c>
      <c r="V21" s="44">
        <f>V18/$V18</f>
        <v>1</v>
      </c>
      <c r="W21" s="44">
        <f t="shared" ref="W21:Z21" si="9">W18/$V18</f>
        <v>0.2511325028312571</v>
      </c>
      <c r="X21" s="44">
        <f t="shared" si="9"/>
        <v>0.68431483578708951</v>
      </c>
      <c r="Y21" s="44">
        <f t="shared" si="9"/>
        <v>0.24830124575311438</v>
      </c>
      <c r="Z21" s="44">
        <f t="shared" si="9"/>
        <v>0.14722536806342015</v>
      </c>
      <c r="AA21" s="44"/>
      <c r="AB21" s="65">
        <f>MAX(AB23:AB34)</f>
        <v>0.18467416684355764</v>
      </c>
      <c r="AC21" s="65">
        <f>MAX(AC23:AC34)</f>
        <v>0.51921035873487587</v>
      </c>
      <c r="AD21" s="65">
        <f>MAX(AD23:AD34)</f>
        <v>0.31448412698412698</v>
      </c>
      <c r="AE21" s="65">
        <f>MAX(AE23:AE34)</f>
        <v>1</v>
      </c>
    </row>
    <row r="22" spans="1:32" x14ac:dyDescent="0.45">
      <c r="A22" t="s">
        <v>316</v>
      </c>
      <c r="AB22" s="66" t="s">
        <v>312</v>
      </c>
      <c r="AC22" s="66" t="s">
        <v>313</v>
      </c>
      <c r="AD22" s="66" t="s">
        <v>314</v>
      </c>
      <c r="AE22" s="66" t="s">
        <v>315</v>
      </c>
      <c r="AF22" s="48"/>
    </row>
    <row r="23" spans="1:32" x14ac:dyDescent="0.45">
      <c r="A23" t="s">
        <v>251</v>
      </c>
      <c r="AB23" s="44">
        <f>AB2/SUM($AB2:$AE2)</f>
        <v>0</v>
      </c>
      <c r="AC23" s="44">
        <f>AC2/SUM($AB2:$AE2)</f>
        <v>0</v>
      </c>
      <c r="AD23" s="44">
        <f>AD2/SUM($AB2:$AE2)</f>
        <v>0</v>
      </c>
      <c r="AE23" s="44">
        <f>AE2/SUM($AB2:$AE2)</f>
        <v>1</v>
      </c>
    </row>
    <row r="24" spans="1:32" x14ac:dyDescent="0.45">
      <c r="A24" t="s">
        <v>256</v>
      </c>
      <c r="AB24" s="44">
        <f t="shared" ref="AB24:AE24" si="10">AB3/SUM($AB3:$AE3)</f>
        <v>0</v>
      </c>
      <c r="AC24" s="44">
        <f t="shared" si="10"/>
        <v>0</v>
      </c>
      <c r="AD24" s="44">
        <f t="shared" si="10"/>
        <v>0</v>
      </c>
      <c r="AE24" s="44">
        <f t="shared" si="10"/>
        <v>1</v>
      </c>
    </row>
    <row r="25" spans="1:32" x14ac:dyDescent="0.45">
      <c r="A25" t="s">
        <v>261</v>
      </c>
      <c r="AB25" s="44">
        <f t="shared" ref="AB25:AE25" si="11">AB4/SUM($AB4:$AE4)</f>
        <v>0</v>
      </c>
      <c r="AC25" s="44">
        <f t="shared" si="11"/>
        <v>0</v>
      </c>
      <c r="AD25" s="44">
        <f t="shared" si="11"/>
        <v>0</v>
      </c>
      <c r="AE25" s="44">
        <f t="shared" si="11"/>
        <v>1</v>
      </c>
    </row>
    <row r="26" spans="1:32" x14ac:dyDescent="0.45">
      <c r="A26" t="s">
        <v>266</v>
      </c>
      <c r="AB26" s="44">
        <f t="shared" ref="AB26:AE26" si="12">AB5/SUM($AB5:$AE5)</f>
        <v>0</v>
      </c>
      <c r="AC26" s="44">
        <f t="shared" si="12"/>
        <v>0</v>
      </c>
      <c r="AD26" s="44">
        <f t="shared" si="12"/>
        <v>0</v>
      </c>
      <c r="AE26" s="44">
        <f t="shared" si="12"/>
        <v>1</v>
      </c>
    </row>
    <row r="27" spans="1:32" x14ac:dyDescent="0.45">
      <c r="A27" t="s">
        <v>77</v>
      </c>
      <c r="AB27" s="44">
        <f t="shared" ref="AB27:AE27" si="13">AB6/SUM($AB6:$AE6)</f>
        <v>0</v>
      </c>
      <c r="AC27" s="44">
        <f t="shared" si="13"/>
        <v>0.08</v>
      </c>
      <c r="AD27" s="44">
        <f t="shared" si="13"/>
        <v>2.8571428571428571E-2</v>
      </c>
      <c r="AE27" s="44">
        <f t="shared" si="13"/>
        <v>0.89142857142857146</v>
      </c>
    </row>
    <row r="28" spans="1:32" x14ac:dyDescent="0.45">
      <c r="A28" t="s">
        <v>79</v>
      </c>
      <c r="AB28" s="44">
        <f>AB7/SUM($AB7:$AE7)</f>
        <v>0.18467416684355764</v>
      </c>
      <c r="AC28" s="44">
        <f t="shared" ref="AC28:AE28" si="14">AC7/SUM($AB7:$AE7)</f>
        <v>0.51921035873487587</v>
      </c>
      <c r="AD28" s="44">
        <f t="shared" si="14"/>
        <v>0.19040543409042665</v>
      </c>
      <c r="AE28" s="44">
        <f t="shared" si="14"/>
        <v>0.10571004033113988</v>
      </c>
    </row>
    <row r="29" spans="1:32" x14ac:dyDescent="0.45">
      <c r="A29" t="s">
        <v>81</v>
      </c>
      <c r="AB29" s="44">
        <f t="shared" ref="AB29:AE29" si="15">AB8/SUM($AB8:$AE8)</f>
        <v>7.8492239467849223E-2</v>
      </c>
      <c r="AC29" s="44">
        <f t="shared" si="15"/>
        <v>0.48824833702882481</v>
      </c>
      <c r="AD29" s="44">
        <f t="shared" si="15"/>
        <v>0.26829268292682928</v>
      </c>
      <c r="AE29" s="44">
        <f t="shared" si="15"/>
        <v>0.16496674057649668</v>
      </c>
    </row>
    <row r="30" spans="1:32" x14ac:dyDescent="0.45">
      <c r="A30" t="s">
        <v>83</v>
      </c>
      <c r="AB30" s="44">
        <f t="shared" ref="AB30:AE30" si="16">AB9/SUM($AB9:$AE9)</f>
        <v>0</v>
      </c>
      <c r="AC30" s="44">
        <f t="shared" si="16"/>
        <v>0.21341463414634146</v>
      </c>
      <c r="AD30" s="44">
        <f t="shared" si="16"/>
        <v>8.5365853658536592E-2</v>
      </c>
      <c r="AE30" s="44">
        <f t="shared" si="16"/>
        <v>0.70121951219512191</v>
      </c>
    </row>
    <row r="31" spans="1:32" x14ac:dyDescent="0.45">
      <c r="A31" t="s">
        <v>288</v>
      </c>
      <c r="AB31" s="44">
        <f t="shared" ref="AB31:AE31" si="17">AB10/SUM($AB10:$AE10)</f>
        <v>0</v>
      </c>
      <c r="AC31" s="44">
        <f t="shared" si="17"/>
        <v>5.5350553505535055E-2</v>
      </c>
      <c r="AD31" s="44">
        <f t="shared" si="17"/>
        <v>3.6900369003690036E-3</v>
      </c>
      <c r="AE31" s="44">
        <f t="shared" si="17"/>
        <v>0.94095940959409596</v>
      </c>
    </row>
    <row r="32" spans="1:32" x14ac:dyDescent="0.45">
      <c r="A32" t="s">
        <v>87</v>
      </c>
      <c r="AB32" s="44">
        <f t="shared" ref="AB32:AE32" si="18">AB11/SUM($AB11:$AE11)</f>
        <v>0</v>
      </c>
      <c r="AC32" s="44">
        <f t="shared" si="18"/>
        <v>0.13553113553113552</v>
      </c>
      <c r="AD32" s="44">
        <f t="shared" si="18"/>
        <v>3.2967032967032968E-2</v>
      </c>
      <c r="AE32" s="44">
        <f t="shared" si="18"/>
        <v>0.83150183150183155</v>
      </c>
    </row>
    <row r="33" spans="1:31" x14ac:dyDescent="0.45">
      <c r="A33" t="s">
        <v>89</v>
      </c>
      <c r="AB33" s="44">
        <f t="shared" ref="AB33:AE33" si="19">AB12/SUM($AB12:$AE12)</f>
        <v>2.5793650793650792E-2</v>
      </c>
      <c r="AC33" s="44">
        <f t="shared" si="19"/>
        <v>0.47073412698412698</v>
      </c>
      <c r="AD33" s="44">
        <f t="shared" si="19"/>
        <v>0.31448412698412698</v>
      </c>
      <c r="AE33" s="44">
        <f t="shared" si="19"/>
        <v>0.18898809523809523</v>
      </c>
    </row>
    <row r="34" spans="1:31" x14ac:dyDescent="0.45">
      <c r="A34" t="s">
        <v>91</v>
      </c>
      <c r="AB34" s="44">
        <f t="shared" ref="AB34:AE34" si="20">AB13/SUM($AB13:$AE13)</f>
        <v>0</v>
      </c>
      <c r="AC34" s="44">
        <f t="shared" si="20"/>
        <v>0.12550607287449392</v>
      </c>
      <c r="AD34" s="44">
        <f t="shared" si="20"/>
        <v>5.6680161943319839E-2</v>
      </c>
      <c r="AE34" s="44">
        <f t="shared" si="20"/>
        <v>0.81781376518218618</v>
      </c>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7E86-6660-40AD-99B7-A62BDB04B4DE}">
  <dimension ref="A1:I5"/>
  <sheetViews>
    <sheetView workbookViewId="0">
      <selection activeCell="B2" sqref="B2"/>
    </sheetView>
  </sheetViews>
  <sheetFormatPr defaultRowHeight="14.25" x14ac:dyDescent="0.45"/>
  <cols>
    <col min="1" max="1" width="9.796875" bestFit="1" customWidth="1"/>
    <col min="2" max="6" width="9.59765625" customWidth="1"/>
    <col min="7" max="7" width="15" bestFit="1" customWidth="1"/>
    <col min="8" max="8" width="11.59765625" bestFit="1" customWidth="1"/>
    <col min="9" max="9" width="18.796875" bestFit="1" customWidth="1"/>
  </cols>
  <sheetData>
    <row r="1" spans="1:9" x14ac:dyDescent="0.45">
      <c r="B1" t="s">
        <v>328</v>
      </c>
      <c r="C1" t="s">
        <v>324</v>
      </c>
      <c r="D1" t="s">
        <v>325</v>
      </c>
      <c r="E1" t="s">
        <v>326</v>
      </c>
      <c r="F1" t="s">
        <v>327</v>
      </c>
      <c r="G1" t="s">
        <v>330</v>
      </c>
      <c r="H1" t="s">
        <v>331</v>
      </c>
      <c r="I1" t="s">
        <v>332</v>
      </c>
    </row>
    <row r="2" spans="1:9" x14ac:dyDescent="0.45">
      <c r="A2" t="s">
        <v>151</v>
      </c>
      <c r="B2">
        <v>33334</v>
      </c>
      <c r="C2">
        <v>10</v>
      </c>
      <c r="D2">
        <v>43</v>
      </c>
      <c r="E2">
        <v>20</v>
      </c>
      <c r="F2">
        <v>27</v>
      </c>
      <c r="G2">
        <v>80</v>
      </c>
      <c r="H2">
        <v>17</v>
      </c>
      <c r="I2">
        <v>50</v>
      </c>
    </row>
    <row r="3" spans="1:9" x14ac:dyDescent="0.45">
      <c r="A3" t="s">
        <v>321</v>
      </c>
      <c r="B3">
        <v>34768</v>
      </c>
      <c r="C3">
        <v>7</v>
      </c>
      <c r="D3">
        <v>23</v>
      </c>
      <c r="E3">
        <v>33</v>
      </c>
      <c r="F3">
        <v>37</v>
      </c>
      <c r="G3">
        <v>80</v>
      </c>
      <c r="H3">
        <v>17</v>
      </c>
      <c r="I3">
        <v>80</v>
      </c>
    </row>
    <row r="4" spans="1:9" x14ac:dyDescent="0.45">
      <c r="A4" t="s">
        <v>322</v>
      </c>
      <c r="B4">
        <v>33334</v>
      </c>
      <c r="C4">
        <v>13</v>
      </c>
      <c r="D4">
        <v>48</v>
      </c>
      <c r="E4">
        <v>20</v>
      </c>
      <c r="F4">
        <v>19</v>
      </c>
      <c r="G4">
        <v>80</v>
      </c>
      <c r="H4">
        <v>25</v>
      </c>
      <c r="I4">
        <v>50</v>
      </c>
    </row>
    <row r="5" spans="1:9" x14ac:dyDescent="0.45">
      <c r="A5" t="s">
        <v>323</v>
      </c>
      <c r="B5">
        <v>32073</v>
      </c>
      <c r="C5">
        <v>25</v>
      </c>
      <c r="D5">
        <v>50</v>
      </c>
      <c r="E5">
        <v>15</v>
      </c>
      <c r="F5">
        <v>10</v>
      </c>
      <c r="G5">
        <v>80</v>
      </c>
      <c r="H5">
        <v>35</v>
      </c>
      <c r="I5">
        <v>30</v>
      </c>
    </row>
  </sheetData>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B24A-7B54-40D3-97EA-3665E61B4FFF}">
  <dimension ref="A1:R35"/>
  <sheetViews>
    <sheetView workbookViewId="0">
      <selection activeCell="B29" sqref="B29:R35"/>
    </sheetView>
  </sheetViews>
  <sheetFormatPr defaultRowHeight="14.25" x14ac:dyDescent="0.45"/>
  <sheetData>
    <row r="1" spans="1:18" x14ac:dyDescent="0.45">
      <c r="A1" t="s">
        <v>967</v>
      </c>
    </row>
    <row r="2" spans="1:18" x14ac:dyDescent="0.45">
      <c r="A2" s="50" t="s">
        <v>166</v>
      </c>
      <c r="B2" s="51" t="s">
        <v>167</v>
      </c>
      <c r="C2" s="51" t="s">
        <v>168</v>
      </c>
      <c r="D2" s="51" t="s">
        <v>169</v>
      </c>
      <c r="E2" s="51" t="s">
        <v>170</v>
      </c>
      <c r="F2" s="51" t="s">
        <v>171</v>
      </c>
      <c r="G2" s="51" t="s">
        <v>172</v>
      </c>
      <c r="H2" s="51" t="s">
        <v>173</v>
      </c>
      <c r="I2" s="51" t="s">
        <v>174</v>
      </c>
      <c r="J2" s="51" t="s">
        <v>175</v>
      </c>
      <c r="K2" s="51" t="s">
        <v>176</v>
      </c>
      <c r="L2" s="51" t="s">
        <v>177</v>
      </c>
      <c r="M2" s="51" t="s">
        <v>178</v>
      </c>
      <c r="N2" s="52" t="s">
        <v>179</v>
      </c>
    </row>
    <row r="3" spans="1:18" x14ac:dyDescent="0.45">
      <c r="A3" s="53" t="s">
        <v>180</v>
      </c>
      <c r="B3" s="54">
        <v>6</v>
      </c>
      <c r="C3" s="54">
        <v>9</v>
      </c>
      <c r="D3" s="54">
        <v>4</v>
      </c>
      <c r="E3" s="54">
        <v>4</v>
      </c>
      <c r="F3" s="54">
        <v>1</v>
      </c>
      <c r="G3" s="54">
        <v>7</v>
      </c>
      <c r="H3" s="54">
        <v>3</v>
      </c>
      <c r="I3" s="54">
        <v>9</v>
      </c>
      <c r="J3" s="54">
        <v>4</v>
      </c>
      <c r="K3" s="54">
        <v>2</v>
      </c>
      <c r="L3" s="54">
        <v>2</v>
      </c>
      <c r="M3" s="54">
        <v>1</v>
      </c>
      <c r="N3" s="55">
        <v>10</v>
      </c>
    </row>
    <row r="4" spans="1:18" x14ac:dyDescent="0.45">
      <c r="A4" s="56" t="s">
        <v>181</v>
      </c>
      <c r="B4" s="57">
        <v>8</v>
      </c>
      <c r="C4" s="57">
        <v>7</v>
      </c>
      <c r="D4" s="57">
        <v>4</v>
      </c>
      <c r="E4" s="57">
        <v>6</v>
      </c>
      <c r="F4" s="57">
        <v>2</v>
      </c>
      <c r="G4" s="57">
        <v>7</v>
      </c>
      <c r="H4" s="57">
        <v>8</v>
      </c>
      <c r="I4" s="57">
        <v>4</v>
      </c>
      <c r="J4" s="57">
        <v>4</v>
      </c>
      <c r="K4" s="57">
        <v>6</v>
      </c>
      <c r="L4" s="57">
        <v>4</v>
      </c>
      <c r="M4" s="57">
        <v>1</v>
      </c>
      <c r="N4" s="58">
        <v>5</v>
      </c>
    </row>
    <row r="5" spans="1:18" x14ac:dyDescent="0.45">
      <c r="A5" s="53" t="s">
        <v>182</v>
      </c>
      <c r="B5" s="54">
        <v>6</v>
      </c>
      <c r="C5" s="54">
        <v>7</v>
      </c>
      <c r="D5" s="54">
        <v>7</v>
      </c>
      <c r="E5" s="54">
        <v>7</v>
      </c>
      <c r="F5" s="54">
        <v>7</v>
      </c>
      <c r="G5" s="54">
        <v>7</v>
      </c>
      <c r="H5" s="54">
        <v>6</v>
      </c>
      <c r="I5" s="54">
        <v>4</v>
      </c>
      <c r="J5" s="54">
        <v>4</v>
      </c>
      <c r="K5" s="54">
        <v>7</v>
      </c>
      <c r="L5" s="54">
        <v>4</v>
      </c>
      <c r="M5" s="54">
        <v>1</v>
      </c>
      <c r="N5" s="55">
        <v>5</v>
      </c>
    </row>
    <row r="6" spans="1:18" x14ac:dyDescent="0.45">
      <c r="A6" s="56" t="s">
        <v>183</v>
      </c>
      <c r="B6" s="57">
        <v>2</v>
      </c>
      <c r="C6" s="57">
        <v>7</v>
      </c>
      <c r="D6" s="57">
        <v>9</v>
      </c>
      <c r="E6" s="57">
        <v>9</v>
      </c>
      <c r="F6" s="57">
        <v>6</v>
      </c>
      <c r="G6" s="57">
        <v>3</v>
      </c>
      <c r="H6" s="57">
        <v>5</v>
      </c>
      <c r="I6" s="57">
        <v>8</v>
      </c>
      <c r="J6" s="57">
        <v>4</v>
      </c>
      <c r="K6" s="57">
        <v>10</v>
      </c>
      <c r="L6" s="57">
        <v>3</v>
      </c>
      <c r="M6" s="57">
        <v>1</v>
      </c>
      <c r="N6" s="58">
        <v>8</v>
      </c>
    </row>
    <row r="7" spans="1:18" x14ac:dyDescent="0.45">
      <c r="A7" s="59" t="s">
        <v>184</v>
      </c>
      <c r="B7" s="60">
        <v>7</v>
      </c>
      <c r="C7" s="60">
        <v>0</v>
      </c>
      <c r="D7" s="60">
        <v>0</v>
      </c>
      <c r="E7" s="60">
        <v>0</v>
      </c>
      <c r="F7" s="60">
        <v>0</v>
      </c>
      <c r="G7" s="60">
        <v>0</v>
      </c>
      <c r="H7" s="60">
        <v>8</v>
      </c>
      <c r="I7" s="60">
        <v>0</v>
      </c>
      <c r="J7" s="60">
        <v>5</v>
      </c>
      <c r="K7" s="60">
        <v>7</v>
      </c>
      <c r="L7" s="60">
        <v>0</v>
      </c>
      <c r="M7" s="60">
        <v>0</v>
      </c>
      <c r="N7" s="61">
        <v>0</v>
      </c>
    </row>
    <row r="8" spans="1:18" x14ac:dyDescent="0.45">
      <c r="A8" s="62" t="s">
        <v>185</v>
      </c>
      <c r="B8" s="63">
        <v>6</v>
      </c>
      <c r="C8" s="63">
        <v>0</v>
      </c>
      <c r="D8" s="63">
        <v>0</v>
      </c>
      <c r="E8" s="63">
        <v>0</v>
      </c>
      <c r="F8" s="63">
        <v>0</v>
      </c>
      <c r="G8" s="63">
        <v>0</v>
      </c>
      <c r="H8" s="63">
        <v>8</v>
      </c>
      <c r="I8" s="63">
        <v>0</v>
      </c>
      <c r="J8" s="63">
        <v>5</v>
      </c>
      <c r="K8" s="63">
        <v>10</v>
      </c>
      <c r="L8" s="63">
        <v>0</v>
      </c>
      <c r="M8" s="63">
        <v>0</v>
      </c>
      <c r="N8" s="64">
        <v>0</v>
      </c>
    </row>
    <row r="10" spans="1:18" x14ac:dyDescent="0.45">
      <c r="A10" t="s">
        <v>968</v>
      </c>
    </row>
    <row r="11" spans="1:18" x14ac:dyDescent="0.45">
      <c r="A11" s="50" t="s">
        <v>166</v>
      </c>
      <c r="B11" s="51" t="s">
        <v>167</v>
      </c>
      <c r="C11" s="51" t="s">
        <v>168</v>
      </c>
      <c r="D11" s="51" t="s">
        <v>169</v>
      </c>
      <c r="E11" s="51" t="s">
        <v>170</v>
      </c>
      <c r="F11" s="51" t="s">
        <v>171</v>
      </c>
      <c r="G11" s="51" t="s">
        <v>172</v>
      </c>
      <c r="H11" s="51" t="s">
        <v>173</v>
      </c>
      <c r="I11" s="51" t="s">
        <v>174</v>
      </c>
      <c r="J11" s="51" t="s">
        <v>175</v>
      </c>
      <c r="K11" s="51" t="s">
        <v>176</v>
      </c>
      <c r="L11" s="51" t="s">
        <v>177</v>
      </c>
      <c r="M11" s="51" t="s">
        <v>178</v>
      </c>
      <c r="N11" s="52" t="s">
        <v>179</v>
      </c>
      <c r="O11" t="s">
        <v>985</v>
      </c>
      <c r="P11" t="s">
        <v>986</v>
      </c>
      <c r="Q11" t="s">
        <v>987</v>
      </c>
      <c r="R11" t="s">
        <v>988</v>
      </c>
    </row>
    <row r="12" spans="1:18" x14ac:dyDescent="0.45">
      <c r="A12" s="53" t="s">
        <v>180</v>
      </c>
      <c r="B12">
        <v>7</v>
      </c>
      <c r="C12">
        <v>9</v>
      </c>
      <c r="D12">
        <v>3</v>
      </c>
      <c r="E12">
        <v>3</v>
      </c>
      <c r="F12">
        <v>0</v>
      </c>
      <c r="G12">
        <v>7</v>
      </c>
      <c r="H12">
        <v>3</v>
      </c>
      <c r="I12">
        <v>9</v>
      </c>
      <c r="J12">
        <v>7</v>
      </c>
      <c r="K12">
        <v>0</v>
      </c>
      <c r="L12">
        <v>7</v>
      </c>
      <c r="M12">
        <v>1</v>
      </c>
      <c r="N12">
        <v>0</v>
      </c>
      <c r="O12">
        <v>1</v>
      </c>
      <c r="P12">
        <v>2</v>
      </c>
      <c r="Q12">
        <v>2</v>
      </c>
      <c r="R12">
        <v>0</v>
      </c>
    </row>
    <row r="13" spans="1:18" x14ac:dyDescent="0.45">
      <c r="A13" s="56" t="s">
        <v>181</v>
      </c>
      <c r="B13">
        <v>9</v>
      </c>
      <c r="C13">
        <v>7</v>
      </c>
      <c r="D13">
        <v>3</v>
      </c>
      <c r="E13">
        <v>7</v>
      </c>
      <c r="F13">
        <v>2</v>
      </c>
      <c r="G13">
        <v>7</v>
      </c>
      <c r="H13">
        <v>6</v>
      </c>
      <c r="I13">
        <v>3</v>
      </c>
      <c r="J13">
        <v>7</v>
      </c>
      <c r="K13">
        <v>0</v>
      </c>
      <c r="L13">
        <v>7</v>
      </c>
      <c r="M13">
        <v>1</v>
      </c>
      <c r="N13">
        <v>0</v>
      </c>
      <c r="O13">
        <v>-1</v>
      </c>
      <c r="P13">
        <v>2</v>
      </c>
      <c r="Q13">
        <v>2</v>
      </c>
      <c r="R13">
        <v>0</v>
      </c>
    </row>
    <row r="14" spans="1:18" x14ac:dyDescent="0.45">
      <c r="A14" s="53" t="s">
        <v>182</v>
      </c>
      <c r="B14">
        <v>5</v>
      </c>
      <c r="C14">
        <v>5</v>
      </c>
      <c r="D14">
        <v>5</v>
      </c>
      <c r="E14">
        <v>3</v>
      </c>
      <c r="F14">
        <v>5</v>
      </c>
      <c r="G14">
        <v>5</v>
      </c>
      <c r="H14">
        <v>7</v>
      </c>
      <c r="I14">
        <v>3</v>
      </c>
      <c r="J14">
        <v>3</v>
      </c>
      <c r="K14">
        <v>7</v>
      </c>
      <c r="L14">
        <v>5</v>
      </c>
      <c r="M14">
        <v>1</v>
      </c>
      <c r="N14">
        <v>0</v>
      </c>
      <c r="O14">
        <v>-3</v>
      </c>
      <c r="P14">
        <v>2</v>
      </c>
      <c r="Q14">
        <v>2</v>
      </c>
      <c r="R14">
        <v>0</v>
      </c>
    </row>
    <row r="15" spans="1:18" x14ac:dyDescent="0.45">
      <c r="A15" s="56" t="s">
        <v>183</v>
      </c>
      <c r="B15">
        <v>1</v>
      </c>
      <c r="C15">
        <v>7</v>
      </c>
      <c r="D15">
        <v>9</v>
      </c>
      <c r="E15">
        <v>9</v>
      </c>
      <c r="F15">
        <v>6</v>
      </c>
      <c r="G15">
        <v>1</v>
      </c>
      <c r="H15">
        <v>10</v>
      </c>
      <c r="I15">
        <v>0</v>
      </c>
      <c r="J15">
        <v>3</v>
      </c>
      <c r="K15">
        <v>10</v>
      </c>
      <c r="L15">
        <v>3</v>
      </c>
      <c r="M15">
        <v>1</v>
      </c>
      <c r="N15">
        <v>7</v>
      </c>
      <c r="O15">
        <v>2</v>
      </c>
      <c r="P15">
        <v>2</v>
      </c>
      <c r="Q15">
        <v>3</v>
      </c>
      <c r="R15">
        <v>0</v>
      </c>
    </row>
    <row r="16" spans="1:18" x14ac:dyDescent="0.45">
      <c r="A16" s="59" t="s">
        <v>184</v>
      </c>
      <c r="B16">
        <v>7</v>
      </c>
      <c r="C16">
        <v>0</v>
      </c>
      <c r="D16">
        <v>0</v>
      </c>
      <c r="E16">
        <v>0</v>
      </c>
      <c r="F16">
        <v>0</v>
      </c>
      <c r="G16">
        <v>0</v>
      </c>
      <c r="H16">
        <v>10</v>
      </c>
      <c r="I16">
        <v>0</v>
      </c>
      <c r="J16">
        <v>5</v>
      </c>
      <c r="K16">
        <v>7</v>
      </c>
      <c r="L16">
        <v>0</v>
      </c>
      <c r="M16">
        <v>1</v>
      </c>
      <c r="N16">
        <v>0</v>
      </c>
      <c r="O16">
        <v>-3</v>
      </c>
      <c r="P16">
        <v>2</v>
      </c>
      <c r="Q16">
        <v>2</v>
      </c>
      <c r="R16">
        <v>7</v>
      </c>
    </row>
    <row r="17" spans="1:18" x14ac:dyDescent="0.45">
      <c r="A17" s="62" t="s">
        <v>185</v>
      </c>
      <c r="B17">
        <v>6</v>
      </c>
      <c r="C17">
        <v>0</v>
      </c>
      <c r="D17">
        <v>0</v>
      </c>
      <c r="E17">
        <v>0</v>
      </c>
      <c r="F17">
        <v>0</v>
      </c>
      <c r="G17">
        <v>0</v>
      </c>
      <c r="H17">
        <v>10</v>
      </c>
      <c r="I17">
        <v>0</v>
      </c>
      <c r="J17">
        <v>5</v>
      </c>
      <c r="K17">
        <v>10</v>
      </c>
      <c r="L17">
        <v>0</v>
      </c>
      <c r="M17">
        <v>1</v>
      </c>
      <c r="N17">
        <v>7</v>
      </c>
      <c r="O17">
        <v>2</v>
      </c>
      <c r="P17">
        <v>2</v>
      </c>
      <c r="Q17">
        <v>3</v>
      </c>
      <c r="R17">
        <v>0</v>
      </c>
    </row>
    <row r="19" spans="1:18" x14ac:dyDescent="0.45">
      <c r="A19" s="104" t="s">
        <v>969</v>
      </c>
    </row>
    <row r="20" spans="1:18" x14ac:dyDescent="0.45">
      <c r="A20" s="50" t="s">
        <v>166</v>
      </c>
      <c r="B20" s="51" t="s">
        <v>167</v>
      </c>
      <c r="C20" s="51" t="s">
        <v>168</v>
      </c>
      <c r="D20" s="51" t="s">
        <v>169</v>
      </c>
      <c r="E20" s="51" t="s">
        <v>170</v>
      </c>
      <c r="F20" s="51" t="s">
        <v>171</v>
      </c>
      <c r="G20" s="51" t="s">
        <v>172</v>
      </c>
      <c r="H20" s="51" t="s">
        <v>173</v>
      </c>
      <c r="I20" s="51" t="s">
        <v>174</v>
      </c>
      <c r="J20" s="51" t="s">
        <v>175</v>
      </c>
      <c r="K20" s="51" t="s">
        <v>176</v>
      </c>
      <c r="L20" s="51" t="s">
        <v>177</v>
      </c>
      <c r="M20" s="51" t="s">
        <v>178</v>
      </c>
      <c r="N20" s="52" t="s">
        <v>179</v>
      </c>
      <c r="O20" t="s">
        <v>985</v>
      </c>
      <c r="P20" t="s">
        <v>986</v>
      </c>
      <c r="Q20" t="s">
        <v>987</v>
      </c>
      <c r="R20" t="s">
        <v>988</v>
      </c>
    </row>
    <row r="21" spans="1:18" x14ac:dyDescent="0.45">
      <c r="A21" s="53" t="s">
        <v>180</v>
      </c>
      <c r="B21">
        <v>7</v>
      </c>
      <c r="C21">
        <v>9</v>
      </c>
      <c r="D21">
        <v>3</v>
      </c>
      <c r="E21">
        <v>3</v>
      </c>
      <c r="F21">
        <v>0</v>
      </c>
      <c r="G21">
        <v>7</v>
      </c>
      <c r="H21">
        <v>3</v>
      </c>
      <c r="I21">
        <v>9</v>
      </c>
      <c r="J21">
        <v>7</v>
      </c>
      <c r="K21">
        <v>0</v>
      </c>
      <c r="L21">
        <v>7</v>
      </c>
      <c r="M21">
        <v>1</v>
      </c>
      <c r="N21">
        <v>0</v>
      </c>
      <c r="O21">
        <v>1</v>
      </c>
      <c r="P21">
        <v>2</v>
      </c>
      <c r="Q21">
        <v>2</v>
      </c>
      <c r="R21">
        <v>0</v>
      </c>
    </row>
    <row r="22" spans="1:18" x14ac:dyDescent="0.45">
      <c r="A22" s="56" t="s">
        <v>181</v>
      </c>
      <c r="B22">
        <v>1</v>
      </c>
      <c r="C22">
        <v>9</v>
      </c>
      <c r="D22">
        <v>9</v>
      </c>
      <c r="E22">
        <v>9</v>
      </c>
      <c r="F22">
        <v>7</v>
      </c>
      <c r="G22">
        <v>7</v>
      </c>
      <c r="H22">
        <v>7</v>
      </c>
      <c r="I22">
        <v>7</v>
      </c>
      <c r="J22">
        <v>7</v>
      </c>
      <c r="K22">
        <v>0</v>
      </c>
      <c r="L22">
        <v>7</v>
      </c>
      <c r="M22">
        <v>1</v>
      </c>
      <c r="N22">
        <v>0</v>
      </c>
      <c r="O22">
        <v>-1</v>
      </c>
      <c r="P22">
        <v>2</v>
      </c>
      <c r="Q22">
        <v>2</v>
      </c>
      <c r="R22">
        <v>0</v>
      </c>
    </row>
    <row r="23" spans="1:18" x14ac:dyDescent="0.45">
      <c r="A23" s="53" t="s">
        <v>182</v>
      </c>
      <c r="B23">
        <v>5</v>
      </c>
      <c r="C23">
        <v>5</v>
      </c>
      <c r="D23">
        <v>5</v>
      </c>
      <c r="E23">
        <v>3</v>
      </c>
      <c r="F23">
        <v>5</v>
      </c>
      <c r="G23">
        <v>5</v>
      </c>
      <c r="H23">
        <v>7</v>
      </c>
      <c r="I23">
        <v>3</v>
      </c>
      <c r="J23">
        <v>3</v>
      </c>
      <c r="K23">
        <v>7</v>
      </c>
      <c r="L23">
        <v>5</v>
      </c>
      <c r="M23">
        <v>1</v>
      </c>
      <c r="N23">
        <v>0</v>
      </c>
      <c r="O23">
        <v>-3</v>
      </c>
      <c r="P23">
        <v>2</v>
      </c>
      <c r="Q23">
        <v>2</v>
      </c>
      <c r="R23">
        <v>0</v>
      </c>
    </row>
    <row r="24" spans="1:18" x14ac:dyDescent="0.45">
      <c r="A24" s="56" t="s">
        <v>183</v>
      </c>
      <c r="B24">
        <v>1</v>
      </c>
      <c r="C24">
        <v>7</v>
      </c>
      <c r="D24">
        <v>9</v>
      </c>
      <c r="E24">
        <v>9</v>
      </c>
      <c r="F24">
        <v>6</v>
      </c>
      <c r="G24">
        <v>1</v>
      </c>
      <c r="H24">
        <v>10</v>
      </c>
      <c r="I24">
        <v>0</v>
      </c>
      <c r="J24">
        <v>3</v>
      </c>
      <c r="K24">
        <v>10</v>
      </c>
      <c r="L24">
        <v>3</v>
      </c>
      <c r="M24">
        <v>1</v>
      </c>
      <c r="N24">
        <v>7</v>
      </c>
      <c r="O24">
        <v>2</v>
      </c>
      <c r="P24">
        <v>2</v>
      </c>
      <c r="Q24">
        <v>3</v>
      </c>
      <c r="R24">
        <v>0</v>
      </c>
    </row>
    <row r="25" spans="1:18" x14ac:dyDescent="0.45">
      <c r="A25" s="59" t="s">
        <v>184</v>
      </c>
      <c r="B25">
        <v>7</v>
      </c>
      <c r="C25">
        <v>0</v>
      </c>
      <c r="D25">
        <v>0</v>
      </c>
      <c r="E25">
        <v>0</v>
      </c>
      <c r="F25">
        <v>0</v>
      </c>
      <c r="G25">
        <v>0</v>
      </c>
      <c r="H25">
        <v>10</v>
      </c>
      <c r="I25">
        <v>0</v>
      </c>
      <c r="J25">
        <v>5</v>
      </c>
      <c r="K25">
        <v>7</v>
      </c>
      <c r="L25">
        <v>0</v>
      </c>
      <c r="M25">
        <v>1</v>
      </c>
      <c r="N25">
        <v>0</v>
      </c>
      <c r="O25">
        <v>-3</v>
      </c>
      <c r="P25">
        <v>2</v>
      </c>
      <c r="Q25">
        <v>2</v>
      </c>
      <c r="R25">
        <v>7</v>
      </c>
    </row>
    <row r="26" spans="1:18" x14ac:dyDescent="0.45">
      <c r="A26" s="62" t="s">
        <v>185</v>
      </c>
      <c r="B26">
        <v>6</v>
      </c>
      <c r="C26">
        <v>0</v>
      </c>
      <c r="D26">
        <v>0</v>
      </c>
      <c r="E26">
        <v>0</v>
      </c>
      <c r="F26">
        <v>0</v>
      </c>
      <c r="G26">
        <v>0</v>
      </c>
      <c r="H26">
        <v>10</v>
      </c>
      <c r="I26">
        <v>0</v>
      </c>
      <c r="J26">
        <v>5</v>
      </c>
      <c r="K26">
        <v>10</v>
      </c>
      <c r="L26">
        <v>0</v>
      </c>
      <c r="M26">
        <v>1</v>
      </c>
      <c r="N26">
        <v>7</v>
      </c>
      <c r="O26">
        <v>2</v>
      </c>
      <c r="P26">
        <v>2</v>
      </c>
      <c r="Q26">
        <v>3</v>
      </c>
      <c r="R26">
        <v>0</v>
      </c>
    </row>
    <row r="28" spans="1:18" x14ac:dyDescent="0.45">
      <c r="A28" s="104" t="s">
        <v>970</v>
      </c>
    </row>
    <row r="29" spans="1:18" x14ac:dyDescent="0.45">
      <c r="A29" s="50" t="s">
        <v>166</v>
      </c>
      <c r="B29" s="51" t="s">
        <v>167</v>
      </c>
      <c r="C29" s="51" t="s">
        <v>168</v>
      </c>
      <c r="D29" s="51" t="s">
        <v>169</v>
      </c>
      <c r="E29" s="51" t="s">
        <v>170</v>
      </c>
      <c r="F29" s="51" t="s">
        <v>171</v>
      </c>
      <c r="G29" s="51" t="s">
        <v>172</v>
      </c>
      <c r="H29" s="51" t="s">
        <v>173</v>
      </c>
      <c r="I29" s="51" t="s">
        <v>174</v>
      </c>
      <c r="J29" s="51" t="s">
        <v>175</v>
      </c>
      <c r="K29" s="51" t="s">
        <v>176</v>
      </c>
      <c r="L29" s="51" t="s">
        <v>177</v>
      </c>
      <c r="M29" s="51" t="s">
        <v>178</v>
      </c>
      <c r="N29" s="52" t="s">
        <v>179</v>
      </c>
      <c r="O29" t="s">
        <v>985</v>
      </c>
      <c r="P29" t="s">
        <v>986</v>
      </c>
      <c r="Q29" t="s">
        <v>987</v>
      </c>
      <c r="R29" t="s">
        <v>988</v>
      </c>
    </row>
    <row r="30" spans="1:18" x14ac:dyDescent="0.45">
      <c r="A30" s="53" t="s">
        <v>180</v>
      </c>
      <c r="B30">
        <v>1</v>
      </c>
      <c r="C30">
        <v>9</v>
      </c>
      <c r="D30">
        <v>3</v>
      </c>
      <c r="E30">
        <v>3</v>
      </c>
      <c r="F30">
        <v>0</v>
      </c>
      <c r="G30">
        <v>7</v>
      </c>
      <c r="H30">
        <v>3</v>
      </c>
      <c r="I30">
        <v>9</v>
      </c>
      <c r="J30">
        <v>7</v>
      </c>
      <c r="K30">
        <v>0</v>
      </c>
      <c r="L30">
        <v>7</v>
      </c>
      <c r="M30">
        <v>1</v>
      </c>
      <c r="N30">
        <v>0</v>
      </c>
      <c r="O30">
        <v>1</v>
      </c>
      <c r="P30">
        <v>2</v>
      </c>
      <c r="Q30">
        <v>2</v>
      </c>
      <c r="R30">
        <v>0</v>
      </c>
    </row>
    <row r="31" spans="1:18" x14ac:dyDescent="0.45">
      <c r="A31" s="56" t="s">
        <v>181</v>
      </c>
      <c r="B31">
        <v>1</v>
      </c>
      <c r="C31">
        <v>9</v>
      </c>
      <c r="D31">
        <v>9</v>
      </c>
      <c r="E31">
        <v>9</v>
      </c>
      <c r="F31">
        <v>7</v>
      </c>
      <c r="G31">
        <v>7</v>
      </c>
      <c r="H31">
        <v>7</v>
      </c>
      <c r="I31">
        <v>7</v>
      </c>
      <c r="J31">
        <v>7</v>
      </c>
      <c r="K31">
        <v>0</v>
      </c>
      <c r="L31">
        <v>7</v>
      </c>
      <c r="M31">
        <v>1</v>
      </c>
      <c r="N31">
        <v>0</v>
      </c>
      <c r="O31">
        <v>-1</v>
      </c>
      <c r="P31">
        <v>2</v>
      </c>
      <c r="Q31">
        <v>2</v>
      </c>
      <c r="R31">
        <v>0</v>
      </c>
    </row>
    <row r="32" spans="1:18" x14ac:dyDescent="0.45">
      <c r="A32" s="53" t="s">
        <v>182</v>
      </c>
      <c r="B32">
        <v>5</v>
      </c>
      <c r="C32">
        <v>5</v>
      </c>
      <c r="D32">
        <v>5</v>
      </c>
      <c r="E32">
        <v>3</v>
      </c>
      <c r="F32">
        <v>5</v>
      </c>
      <c r="G32">
        <v>5</v>
      </c>
      <c r="H32">
        <v>7</v>
      </c>
      <c r="I32">
        <v>3</v>
      </c>
      <c r="J32">
        <v>3</v>
      </c>
      <c r="K32">
        <v>7</v>
      </c>
      <c r="L32">
        <v>5</v>
      </c>
      <c r="M32">
        <v>1</v>
      </c>
      <c r="N32">
        <v>0</v>
      </c>
      <c r="O32">
        <v>-3</v>
      </c>
      <c r="P32">
        <v>2</v>
      </c>
      <c r="Q32">
        <v>2</v>
      </c>
      <c r="R32">
        <v>0</v>
      </c>
    </row>
    <row r="33" spans="1:18" x14ac:dyDescent="0.45">
      <c r="A33" s="56" t="s">
        <v>183</v>
      </c>
      <c r="B33">
        <v>1</v>
      </c>
      <c r="C33">
        <v>7</v>
      </c>
      <c r="D33">
        <v>9</v>
      </c>
      <c r="E33">
        <v>9</v>
      </c>
      <c r="F33">
        <v>6</v>
      </c>
      <c r="G33">
        <v>1</v>
      </c>
      <c r="H33">
        <v>10</v>
      </c>
      <c r="I33">
        <v>0</v>
      </c>
      <c r="J33">
        <v>3</v>
      </c>
      <c r="K33">
        <v>10</v>
      </c>
      <c r="L33">
        <v>3</v>
      </c>
      <c r="M33">
        <v>1</v>
      </c>
      <c r="N33">
        <v>7</v>
      </c>
      <c r="O33">
        <v>2</v>
      </c>
      <c r="P33">
        <v>2</v>
      </c>
      <c r="Q33">
        <v>3</v>
      </c>
      <c r="R33">
        <v>0</v>
      </c>
    </row>
    <row r="34" spans="1:18" x14ac:dyDescent="0.45">
      <c r="A34" s="59" t="s">
        <v>184</v>
      </c>
      <c r="B34">
        <v>7</v>
      </c>
      <c r="C34">
        <v>0</v>
      </c>
      <c r="D34">
        <v>0</v>
      </c>
      <c r="E34">
        <v>0</v>
      </c>
      <c r="F34">
        <v>0</v>
      </c>
      <c r="G34">
        <v>0</v>
      </c>
      <c r="H34">
        <v>10</v>
      </c>
      <c r="I34">
        <v>0</v>
      </c>
      <c r="J34">
        <v>5</v>
      </c>
      <c r="K34">
        <v>7</v>
      </c>
      <c r="L34">
        <v>0</v>
      </c>
      <c r="M34">
        <v>1</v>
      </c>
      <c r="N34">
        <v>0</v>
      </c>
      <c r="O34">
        <v>-3</v>
      </c>
      <c r="P34">
        <v>2</v>
      </c>
      <c r="Q34">
        <v>2</v>
      </c>
      <c r="R34">
        <v>7</v>
      </c>
    </row>
    <row r="35" spans="1:18" x14ac:dyDescent="0.45">
      <c r="A35" s="62" t="s">
        <v>185</v>
      </c>
      <c r="B35">
        <v>7</v>
      </c>
      <c r="C35">
        <v>0</v>
      </c>
      <c r="D35">
        <v>0</v>
      </c>
      <c r="E35">
        <v>0</v>
      </c>
      <c r="F35">
        <v>0</v>
      </c>
      <c r="G35">
        <v>0</v>
      </c>
      <c r="H35">
        <v>10</v>
      </c>
      <c r="I35">
        <v>0</v>
      </c>
      <c r="J35">
        <v>5</v>
      </c>
      <c r="K35">
        <v>10</v>
      </c>
      <c r="L35">
        <v>0</v>
      </c>
      <c r="M35">
        <v>1</v>
      </c>
      <c r="N35">
        <v>7</v>
      </c>
      <c r="O35">
        <v>2</v>
      </c>
      <c r="P35">
        <v>2</v>
      </c>
      <c r="Q35">
        <v>3</v>
      </c>
      <c r="R3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7209-75EB-4EF7-9F17-520B5AE3BA4F}">
  <dimension ref="A1:Q101"/>
  <sheetViews>
    <sheetView workbookViewId="0">
      <selection activeCell="I2" sqref="I2"/>
    </sheetView>
  </sheetViews>
  <sheetFormatPr defaultRowHeight="14.25" x14ac:dyDescent="0.45"/>
  <sheetData>
    <row r="1" spans="1:17" x14ac:dyDescent="0.45">
      <c r="A1" t="s">
        <v>145</v>
      </c>
      <c r="B1" t="s">
        <v>145</v>
      </c>
      <c r="C1" t="s">
        <v>944</v>
      </c>
      <c r="D1" t="s">
        <v>945</v>
      </c>
      <c r="E1" t="s">
        <v>946</v>
      </c>
      <c r="F1" t="s">
        <v>947</v>
      </c>
      <c r="G1" t="s">
        <v>948</v>
      </c>
      <c r="H1" t="s">
        <v>949</v>
      </c>
      <c r="I1" t="s">
        <v>950</v>
      </c>
      <c r="J1" t="s">
        <v>951</v>
      </c>
      <c r="K1" t="s">
        <v>952</v>
      </c>
      <c r="L1" t="s">
        <v>953</v>
      </c>
      <c r="M1" t="s">
        <v>954</v>
      </c>
      <c r="N1" t="s">
        <v>955</v>
      </c>
      <c r="O1" t="s">
        <v>956</v>
      </c>
      <c r="P1" t="s">
        <v>957</v>
      </c>
      <c r="Q1" t="s">
        <v>958</v>
      </c>
    </row>
    <row r="2" spans="1:17" x14ac:dyDescent="0.45">
      <c r="A2" t="str">
        <f>_xlfn.CONCAT(B2:C2)</f>
        <v>S12026</v>
      </c>
      <c r="B2" t="s">
        <v>959</v>
      </c>
      <c r="C2">
        <v>2026</v>
      </c>
      <c r="D2">
        <v>3515.08</v>
      </c>
      <c r="E2">
        <v>1180.82</v>
      </c>
      <c r="F2">
        <v>24.93</v>
      </c>
      <c r="G2">
        <v>5.19</v>
      </c>
      <c r="H2">
        <v>3.13</v>
      </c>
      <c r="I2">
        <v>1.33</v>
      </c>
      <c r="J2">
        <v>5.0599999999999996</v>
      </c>
      <c r="K2">
        <v>0.72</v>
      </c>
      <c r="L2">
        <v>12.94</v>
      </c>
      <c r="M2">
        <v>0.18</v>
      </c>
      <c r="N2">
        <v>3.8</v>
      </c>
      <c r="O2">
        <v>2.97</v>
      </c>
      <c r="P2">
        <v>3490.16</v>
      </c>
      <c r="Q2">
        <v>1175.6199999999999</v>
      </c>
    </row>
    <row r="3" spans="1:17" x14ac:dyDescent="0.45">
      <c r="A3" t="str">
        <f t="shared" ref="A3:A66" si="0">_xlfn.CONCAT(B3:C3)</f>
        <v>S12027</v>
      </c>
      <c r="B3" t="s">
        <v>959</v>
      </c>
      <c r="C3">
        <v>2027</v>
      </c>
      <c r="D3">
        <v>3540.06</v>
      </c>
      <c r="E3">
        <v>1187.08</v>
      </c>
      <c r="F3">
        <v>49.91</v>
      </c>
      <c r="G3">
        <v>11.45</v>
      </c>
      <c r="H3">
        <v>6.37</v>
      </c>
      <c r="I3">
        <v>3.31</v>
      </c>
      <c r="J3">
        <v>10.19</v>
      </c>
      <c r="K3">
        <v>1.64</v>
      </c>
      <c r="L3">
        <v>25.67</v>
      </c>
      <c r="M3">
        <v>0.5</v>
      </c>
      <c r="N3">
        <v>7.67</v>
      </c>
      <c r="O3">
        <v>6.01</v>
      </c>
      <c r="P3">
        <v>3490.16</v>
      </c>
      <c r="Q3">
        <v>1175.6199999999999</v>
      </c>
    </row>
    <row r="4" spans="1:17" x14ac:dyDescent="0.45">
      <c r="A4" t="str">
        <f t="shared" si="0"/>
        <v>S12028</v>
      </c>
      <c r="B4" t="s">
        <v>959</v>
      </c>
      <c r="C4">
        <v>2028</v>
      </c>
      <c r="D4">
        <v>3564.92</v>
      </c>
      <c r="E4">
        <v>1193.31</v>
      </c>
      <c r="F4">
        <v>74.77</v>
      </c>
      <c r="G4">
        <v>17.68</v>
      </c>
      <c r="H4">
        <v>9.6300000000000008</v>
      </c>
      <c r="I4">
        <v>5.26</v>
      </c>
      <c r="J4">
        <v>15.21</v>
      </c>
      <c r="K4">
        <v>2.59</v>
      </c>
      <c r="L4">
        <v>38.5</v>
      </c>
      <c r="M4">
        <v>0.63</v>
      </c>
      <c r="N4">
        <v>11.43</v>
      </c>
      <c r="O4">
        <v>9.1999999999999993</v>
      </c>
      <c r="P4">
        <v>3490.16</v>
      </c>
      <c r="Q4">
        <v>1175.6199999999999</v>
      </c>
    </row>
    <row r="5" spans="1:17" x14ac:dyDescent="0.45">
      <c r="A5" t="str">
        <f t="shared" si="0"/>
        <v>S12029</v>
      </c>
      <c r="B5" t="s">
        <v>959</v>
      </c>
      <c r="C5">
        <v>2029</v>
      </c>
      <c r="D5">
        <v>3589.85</v>
      </c>
      <c r="E5">
        <v>1200.04</v>
      </c>
      <c r="F5">
        <v>99.7</v>
      </c>
      <c r="G5">
        <v>24.41</v>
      </c>
      <c r="H5">
        <v>12.76</v>
      </c>
      <c r="I5">
        <v>7.47</v>
      </c>
      <c r="J5">
        <v>20.25</v>
      </c>
      <c r="K5">
        <v>3.67</v>
      </c>
      <c r="L5">
        <v>51.41</v>
      </c>
      <c r="M5">
        <v>0.76</v>
      </c>
      <c r="N5">
        <v>15.28</v>
      </c>
      <c r="O5">
        <v>12.51</v>
      </c>
      <c r="P5">
        <v>3490.16</v>
      </c>
      <c r="Q5">
        <v>1175.6199999999999</v>
      </c>
    </row>
    <row r="6" spans="1:17" x14ac:dyDescent="0.45">
      <c r="A6" t="str">
        <f t="shared" si="0"/>
        <v>S12030</v>
      </c>
      <c r="B6" t="s">
        <v>959</v>
      </c>
      <c r="C6">
        <v>2030</v>
      </c>
      <c r="D6">
        <v>3615.62</v>
      </c>
      <c r="E6">
        <v>1206.56</v>
      </c>
      <c r="F6">
        <v>125.47</v>
      </c>
      <c r="G6">
        <v>30.93</v>
      </c>
      <c r="H6">
        <v>15.86</v>
      </c>
      <c r="I6">
        <v>9.56</v>
      </c>
      <c r="J6">
        <v>25.6</v>
      </c>
      <c r="K6">
        <v>4.4800000000000004</v>
      </c>
      <c r="L6">
        <v>64.66</v>
      </c>
      <c r="M6">
        <v>0.99</v>
      </c>
      <c r="N6">
        <v>19.329999999999998</v>
      </c>
      <c r="O6">
        <v>15.91</v>
      </c>
      <c r="P6">
        <v>3490.16</v>
      </c>
      <c r="Q6">
        <v>1175.6199999999999</v>
      </c>
    </row>
    <row r="7" spans="1:17" x14ac:dyDescent="0.45">
      <c r="A7" t="str">
        <f t="shared" si="0"/>
        <v>S12031</v>
      </c>
      <c r="B7" t="s">
        <v>959</v>
      </c>
      <c r="C7">
        <v>2031</v>
      </c>
      <c r="D7">
        <v>3641.08</v>
      </c>
      <c r="E7">
        <v>1213.3800000000001</v>
      </c>
      <c r="F7">
        <v>150.93</v>
      </c>
      <c r="G7">
        <v>37.76</v>
      </c>
      <c r="H7">
        <v>18.829999999999998</v>
      </c>
      <c r="I7">
        <v>11.74</v>
      </c>
      <c r="J7">
        <v>30.71</v>
      </c>
      <c r="K7">
        <v>5.24</v>
      </c>
      <c r="L7">
        <v>78.03</v>
      </c>
      <c r="M7">
        <v>1.24</v>
      </c>
      <c r="N7">
        <v>23.36</v>
      </c>
      <c r="O7">
        <v>19.53</v>
      </c>
      <c r="P7">
        <v>3490.16</v>
      </c>
      <c r="Q7">
        <v>1175.6199999999999</v>
      </c>
    </row>
    <row r="8" spans="1:17" x14ac:dyDescent="0.45">
      <c r="A8" t="str">
        <f t="shared" si="0"/>
        <v>S12032</v>
      </c>
      <c r="B8" t="s">
        <v>959</v>
      </c>
      <c r="C8">
        <v>2032</v>
      </c>
      <c r="D8">
        <v>3666.4</v>
      </c>
      <c r="E8">
        <v>1220.5999999999999</v>
      </c>
      <c r="F8">
        <v>176.25</v>
      </c>
      <c r="G8">
        <v>44.97</v>
      </c>
      <c r="H8">
        <v>22.03</v>
      </c>
      <c r="I8">
        <v>14.22</v>
      </c>
      <c r="J8">
        <v>35.71</v>
      </c>
      <c r="K8">
        <v>6.08</v>
      </c>
      <c r="L8">
        <v>91.22</v>
      </c>
      <c r="M8">
        <v>1.51</v>
      </c>
      <c r="N8">
        <v>27.29</v>
      </c>
      <c r="O8">
        <v>23.18</v>
      </c>
      <c r="P8">
        <v>3490.16</v>
      </c>
      <c r="Q8">
        <v>1175.6199999999999</v>
      </c>
    </row>
    <row r="9" spans="1:17" x14ac:dyDescent="0.45">
      <c r="A9" t="str">
        <f t="shared" si="0"/>
        <v>S12033</v>
      </c>
      <c r="B9" t="s">
        <v>959</v>
      </c>
      <c r="C9">
        <v>2033</v>
      </c>
      <c r="D9">
        <v>3692.3</v>
      </c>
      <c r="E9">
        <v>1227.92</v>
      </c>
      <c r="F9">
        <v>202.15</v>
      </c>
      <c r="G9">
        <v>52.3</v>
      </c>
      <c r="H9">
        <v>25.18</v>
      </c>
      <c r="I9">
        <v>16.809999999999999</v>
      </c>
      <c r="J9">
        <v>41.06</v>
      </c>
      <c r="K9">
        <v>6.7</v>
      </c>
      <c r="L9">
        <v>104.49</v>
      </c>
      <c r="M9">
        <v>1.87</v>
      </c>
      <c r="N9">
        <v>31.41</v>
      </c>
      <c r="O9">
        <v>26.91</v>
      </c>
      <c r="P9">
        <v>3490.16</v>
      </c>
      <c r="Q9">
        <v>1175.6199999999999</v>
      </c>
    </row>
    <row r="10" spans="1:17" x14ac:dyDescent="0.45">
      <c r="A10" t="str">
        <f t="shared" si="0"/>
        <v>S12034</v>
      </c>
      <c r="B10" t="s">
        <v>959</v>
      </c>
      <c r="C10">
        <v>2034</v>
      </c>
      <c r="D10">
        <v>3718.35</v>
      </c>
      <c r="E10">
        <v>1235.18</v>
      </c>
      <c r="F10">
        <v>228.2</v>
      </c>
      <c r="G10">
        <v>59.56</v>
      </c>
      <c r="H10">
        <v>28.35</v>
      </c>
      <c r="I10">
        <v>19.260000000000002</v>
      </c>
      <c r="J10">
        <v>46.26</v>
      </c>
      <c r="K10">
        <v>7.52</v>
      </c>
      <c r="L10">
        <v>118.15</v>
      </c>
      <c r="M10">
        <v>2.2000000000000002</v>
      </c>
      <c r="N10">
        <v>35.44</v>
      </c>
      <c r="O10">
        <v>30.58</v>
      </c>
      <c r="P10">
        <v>3490.16</v>
      </c>
      <c r="Q10">
        <v>1175.6199999999999</v>
      </c>
    </row>
    <row r="11" spans="1:17" x14ac:dyDescent="0.45">
      <c r="A11" t="str">
        <f t="shared" si="0"/>
        <v>S12035</v>
      </c>
      <c r="B11" t="s">
        <v>959</v>
      </c>
      <c r="C11">
        <v>2035</v>
      </c>
      <c r="D11">
        <v>3744.32</v>
      </c>
      <c r="E11">
        <v>1242.72</v>
      </c>
      <c r="F11">
        <v>254.17</v>
      </c>
      <c r="G11">
        <v>67.099999999999994</v>
      </c>
      <c r="H11">
        <v>31.43</v>
      </c>
      <c r="I11">
        <v>21.78</v>
      </c>
      <c r="J11">
        <v>51.86</v>
      </c>
      <c r="K11">
        <v>8.5299999999999994</v>
      </c>
      <c r="L11">
        <v>131.44</v>
      </c>
      <c r="M11">
        <v>2.5</v>
      </c>
      <c r="N11">
        <v>39.42</v>
      </c>
      <c r="O11">
        <v>34.29</v>
      </c>
      <c r="P11">
        <v>3490.16</v>
      </c>
      <c r="Q11">
        <v>1175.6199999999999</v>
      </c>
    </row>
    <row r="12" spans="1:17" x14ac:dyDescent="0.45">
      <c r="A12" t="str">
        <f t="shared" si="0"/>
        <v>S12036</v>
      </c>
      <c r="B12" t="s">
        <v>959</v>
      </c>
      <c r="C12">
        <v>2036</v>
      </c>
      <c r="D12">
        <v>3770.48</v>
      </c>
      <c r="E12">
        <v>1250.1199999999999</v>
      </c>
      <c r="F12">
        <v>280.33</v>
      </c>
      <c r="G12">
        <v>74.489999999999995</v>
      </c>
      <c r="H12">
        <v>34.65</v>
      </c>
      <c r="I12">
        <v>24.32</v>
      </c>
      <c r="J12">
        <v>56.97</v>
      </c>
      <c r="K12">
        <v>9.32</v>
      </c>
      <c r="L12">
        <v>145.28</v>
      </c>
      <c r="M12">
        <v>2.95</v>
      </c>
      <c r="N12">
        <v>43.42</v>
      </c>
      <c r="O12">
        <v>37.909999999999997</v>
      </c>
      <c r="P12">
        <v>3490.16</v>
      </c>
      <c r="Q12">
        <v>1175.6199999999999</v>
      </c>
    </row>
    <row r="13" spans="1:17" x14ac:dyDescent="0.45">
      <c r="A13" t="str">
        <f t="shared" si="0"/>
        <v>S12037</v>
      </c>
      <c r="B13" t="s">
        <v>959</v>
      </c>
      <c r="C13">
        <v>2037</v>
      </c>
      <c r="D13">
        <v>3796.67</v>
      </c>
      <c r="E13">
        <v>1257.48</v>
      </c>
      <c r="F13">
        <v>306.52</v>
      </c>
      <c r="G13">
        <v>81.86</v>
      </c>
      <c r="H13">
        <v>37.96</v>
      </c>
      <c r="I13">
        <v>26.89</v>
      </c>
      <c r="J13">
        <v>62.35</v>
      </c>
      <c r="K13">
        <v>10.06</v>
      </c>
      <c r="L13">
        <v>158.87</v>
      </c>
      <c r="M13">
        <v>3.35</v>
      </c>
      <c r="N13">
        <v>47.34</v>
      </c>
      <c r="O13">
        <v>41.56</v>
      </c>
      <c r="P13">
        <v>3490.16</v>
      </c>
      <c r="Q13">
        <v>1175.6199999999999</v>
      </c>
    </row>
    <row r="14" spans="1:17" x14ac:dyDescent="0.45">
      <c r="A14" t="str">
        <f t="shared" si="0"/>
        <v>S12038</v>
      </c>
      <c r="B14" t="s">
        <v>959</v>
      </c>
      <c r="C14">
        <v>2038</v>
      </c>
      <c r="D14">
        <v>3823.04</v>
      </c>
      <c r="E14">
        <v>1264.9000000000001</v>
      </c>
      <c r="F14">
        <v>332.89</v>
      </c>
      <c r="G14">
        <v>89.28</v>
      </c>
      <c r="H14">
        <v>41.31</v>
      </c>
      <c r="I14">
        <v>29.59</v>
      </c>
      <c r="J14">
        <v>67.680000000000007</v>
      </c>
      <c r="K14">
        <v>10.89</v>
      </c>
      <c r="L14">
        <v>172.51</v>
      </c>
      <c r="M14">
        <v>3.67</v>
      </c>
      <c r="N14">
        <v>51.39</v>
      </c>
      <c r="O14">
        <v>45.14</v>
      </c>
      <c r="P14">
        <v>3490.16</v>
      </c>
      <c r="Q14">
        <v>1175.6199999999999</v>
      </c>
    </row>
    <row r="15" spans="1:17" x14ac:dyDescent="0.45">
      <c r="A15" t="str">
        <f t="shared" si="0"/>
        <v>S12039</v>
      </c>
      <c r="B15" t="s">
        <v>959</v>
      </c>
      <c r="C15">
        <v>2039</v>
      </c>
      <c r="D15">
        <v>3849.28</v>
      </c>
      <c r="E15">
        <v>1272.73</v>
      </c>
      <c r="F15">
        <v>359.13</v>
      </c>
      <c r="G15">
        <v>97.11</v>
      </c>
      <c r="H15">
        <v>44.64</v>
      </c>
      <c r="I15">
        <v>32.44</v>
      </c>
      <c r="J15">
        <v>73.06</v>
      </c>
      <c r="K15">
        <v>11.95</v>
      </c>
      <c r="L15">
        <v>186.01</v>
      </c>
      <c r="M15">
        <v>4.18</v>
      </c>
      <c r="N15">
        <v>55.42</v>
      </c>
      <c r="O15">
        <v>48.53</v>
      </c>
      <c r="P15">
        <v>3490.16</v>
      </c>
      <c r="Q15">
        <v>1175.6199999999999</v>
      </c>
    </row>
    <row r="16" spans="1:17" x14ac:dyDescent="0.45">
      <c r="A16" t="str">
        <f t="shared" si="0"/>
        <v>S12040</v>
      </c>
      <c r="B16" t="s">
        <v>959</v>
      </c>
      <c r="C16">
        <v>2040</v>
      </c>
      <c r="D16">
        <v>3875.78</v>
      </c>
      <c r="E16">
        <v>1280.23</v>
      </c>
      <c r="F16">
        <v>385.63</v>
      </c>
      <c r="G16">
        <v>104.61</v>
      </c>
      <c r="H16">
        <v>47.86</v>
      </c>
      <c r="I16">
        <v>35.01</v>
      </c>
      <c r="J16">
        <v>78.39</v>
      </c>
      <c r="K16">
        <v>12.74</v>
      </c>
      <c r="L16">
        <v>199.84</v>
      </c>
      <c r="M16">
        <v>4.88</v>
      </c>
      <c r="N16">
        <v>59.54</v>
      </c>
      <c r="O16">
        <v>51.98</v>
      </c>
      <c r="P16">
        <v>3490.16</v>
      </c>
      <c r="Q16">
        <v>1175.6199999999999</v>
      </c>
    </row>
    <row r="17" spans="1:17" x14ac:dyDescent="0.45">
      <c r="A17" t="str">
        <f t="shared" si="0"/>
        <v>S12041</v>
      </c>
      <c r="B17" t="s">
        <v>959</v>
      </c>
      <c r="C17">
        <v>2041</v>
      </c>
      <c r="D17">
        <v>3902.08</v>
      </c>
      <c r="E17">
        <v>1287.92</v>
      </c>
      <c r="F17">
        <v>411.93</v>
      </c>
      <c r="G17">
        <v>112.3</v>
      </c>
      <c r="H17">
        <v>51.08</v>
      </c>
      <c r="I17">
        <v>37.53</v>
      </c>
      <c r="J17">
        <v>84.04</v>
      </c>
      <c r="K17">
        <v>13.61</v>
      </c>
      <c r="L17">
        <v>213.28</v>
      </c>
      <c r="M17">
        <v>5.58</v>
      </c>
      <c r="N17">
        <v>63.54</v>
      </c>
      <c r="O17">
        <v>55.58</v>
      </c>
      <c r="P17">
        <v>3490.16</v>
      </c>
      <c r="Q17">
        <v>1175.6199999999999</v>
      </c>
    </row>
    <row r="18" spans="1:17" x14ac:dyDescent="0.45">
      <c r="A18" t="str">
        <f t="shared" si="0"/>
        <v>S12042</v>
      </c>
      <c r="B18" t="s">
        <v>959</v>
      </c>
      <c r="C18">
        <v>2042</v>
      </c>
      <c r="D18">
        <v>3928.54</v>
      </c>
      <c r="E18">
        <v>1296.0899999999999</v>
      </c>
      <c r="F18">
        <v>438.39</v>
      </c>
      <c r="G18">
        <v>120.46</v>
      </c>
      <c r="H18">
        <v>54.29</v>
      </c>
      <c r="I18">
        <v>40.07</v>
      </c>
      <c r="J18">
        <v>89.46</v>
      </c>
      <c r="K18">
        <v>14.69</v>
      </c>
      <c r="L18">
        <v>226.98</v>
      </c>
      <c r="M18">
        <v>6.39</v>
      </c>
      <c r="N18">
        <v>67.66</v>
      </c>
      <c r="O18">
        <v>59.31</v>
      </c>
      <c r="P18">
        <v>3490.16</v>
      </c>
      <c r="Q18">
        <v>1175.6199999999999</v>
      </c>
    </row>
    <row r="19" spans="1:17" x14ac:dyDescent="0.45">
      <c r="A19" t="str">
        <f t="shared" si="0"/>
        <v>S12043</v>
      </c>
      <c r="B19" t="s">
        <v>959</v>
      </c>
      <c r="C19">
        <v>2043</v>
      </c>
      <c r="D19">
        <v>3955.03</v>
      </c>
      <c r="E19">
        <v>1304.1199999999999</v>
      </c>
      <c r="F19">
        <v>464.88</v>
      </c>
      <c r="G19">
        <v>128.49</v>
      </c>
      <c r="H19">
        <v>57.6</v>
      </c>
      <c r="I19">
        <v>42.68</v>
      </c>
      <c r="J19">
        <v>95.11</v>
      </c>
      <c r="K19">
        <v>15.68</v>
      </c>
      <c r="L19">
        <v>240.48</v>
      </c>
      <c r="M19">
        <v>7.09</v>
      </c>
      <c r="N19">
        <v>71.680000000000007</v>
      </c>
      <c r="O19">
        <v>63.04</v>
      </c>
      <c r="P19">
        <v>3490.16</v>
      </c>
      <c r="Q19">
        <v>1175.6199999999999</v>
      </c>
    </row>
    <row r="20" spans="1:17" x14ac:dyDescent="0.45">
      <c r="A20" t="str">
        <f t="shared" si="0"/>
        <v>S12044</v>
      </c>
      <c r="B20" t="s">
        <v>959</v>
      </c>
      <c r="C20">
        <v>2044</v>
      </c>
      <c r="D20">
        <v>3981.64</v>
      </c>
      <c r="E20">
        <v>1312.09</v>
      </c>
      <c r="F20">
        <v>491.49</v>
      </c>
      <c r="G20">
        <v>136.46</v>
      </c>
      <c r="H20">
        <v>60.93</v>
      </c>
      <c r="I20">
        <v>45.38</v>
      </c>
      <c r="J20">
        <v>100.62</v>
      </c>
      <c r="K20">
        <v>16.579999999999998</v>
      </c>
      <c r="L20">
        <v>254.09</v>
      </c>
      <c r="M20">
        <v>7.65</v>
      </c>
      <c r="N20">
        <v>75.849999999999994</v>
      </c>
      <c r="O20">
        <v>66.849999999999994</v>
      </c>
      <c r="P20">
        <v>3490.16</v>
      </c>
      <c r="Q20">
        <v>1175.6199999999999</v>
      </c>
    </row>
    <row r="21" spans="1:17" x14ac:dyDescent="0.45">
      <c r="A21" t="str">
        <f t="shared" si="0"/>
        <v>S12045</v>
      </c>
      <c r="B21" t="s">
        <v>959</v>
      </c>
      <c r="C21">
        <v>2045</v>
      </c>
      <c r="D21">
        <v>4007.95</v>
      </c>
      <c r="E21">
        <v>1320.08</v>
      </c>
      <c r="F21">
        <v>517.79999999999995</v>
      </c>
      <c r="G21">
        <v>144.44999999999999</v>
      </c>
      <c r="H21">
        <v>64.099999999999994</v>
      </c>
      <c r="I21">
        <v>47.86</v>
      </c>
      <c r="J21">
        <v>106.22</v>
      </c>
      <c r="K21">
        <v>17.53</v>
      </c>
      <c r="L21">
        <v>267.52</v>
      </c>
      <c r="M21">
        <v>8.32</v>
      </c>
      <c r="N21">
        <v>79.94</v>
      </c>
      <c r="O21">
        <v>70.739999999999995</v>
      </c>
      <c r="P21">
        <v>3490.16</v>
      </c>
      <c r="Q21">
        <v>1175.6199999999999</v>
      </c>
    </row>
    <row r="22" spans="1:17" x14ac:dyDescent="0.45">
      <c r="A22" t="str">
        <f t="shared" si="0"/>
        <v>S12046</v>
      </c>
      <c r="B22" t="s">
        <v>959</v>
      </c>
      <c r="C22">
        <v>2046</v>
      </c>
      <c r="D22">
        <v>4034.77</v>
      </c>
      <c r="E22">
        <v>1328.4</v>
      </c>
      <c r="F22">
        <v>544.62</v>
      </c>
      <c r="G22">
        <v>152.78</v>
      </c>
      <c r="H22">
        <v>67.540000000000006</v>
      </c>
      <c r="I22">
        <v>50.67</v>
      </c>
      <c r="J22">
        <v>111.74</v>
      </c>
      <c r="K22">
        <v>18.27</v>
      </c>
      <c r="L22">
        <v>281.3</v>
      </c>
      <c r="M22">
        <v>9.09</v>
      </c>
      <c r="N22">
        <v>84.04</v>
      </c>
      <c r="O22">
        <v>74.739999999999995</v>
      </c>
      <c r="P22">
        <v>3490.16</v>
      </c>
      <c r="Q22">
        <v>1175.6199999999999</v>
      </c>
    </row>
    <row r="23" spans="1:17" x14ac:dyDescent="0.45">
      <c r="A23" t="str">
        <f t="shared" si="0"/>
        <v>S12047</v>
      </c>
      <c r="B23" t="s">
        <v>959</v>
      </c>
      <c r="C23">
        <v>2047</v>
      </c>
      <c r="D23">
        <v>4060.8</v>
      </c>
      <c r="E23">
        <v>1336.79</v>
      </c>
      <c r="F23">
        <v>570.65</v>
      </c>
      <c r="G23">
        <v>161.16</v>
      </c>
      <c r="H23">
        <v>70.72</v>
      </c>
      <c r="I23">
        <v>53.39</v>
      </c>
      <c r="J23">
        <v>117.32</v>
      </c>
      <c r="K23">
        <v>19.170000000000002</v>
      </c>
      <c r="L23">
        <v>294.52</v>
      </c>
      <c r="M23">
        <v>9.99</v>
      </c>
      <c r="N23">
        <v>88.09</v>
      </c>
      <c r="O23">
        <v>78.61</v>
      </c>
      <c r="P23">
        <v>3490.16</v>
      </c>
      <c r="Q23">
        <v>1175.6199999999999</v>
      </c>
    </row>
    <row r="24" spans="1:17" x14ac:dyDescent="0.45">
      <c r="A24" t="str">
        <f t="shared" si="0"/>
        <v>S12048</v>
      </c>
      <c r="B24" t="s">
        <v>959</v>
      </c>
      <c r="C24">
        <v>2048</v>
      </c>
      <c r="D24">
        <v>4087.96</v>
      </c>
      <c r="E24">
        <v>1344.98</v>
      </c>
      <c r="F24">
        <v>597.80999999999995</v>
      </c>
      <c r="G24">
        <v>169.36</v>
      </c>
      <c r="H24">
        <v>74.14</v>
      </c>
      <c r="I24">
        <v>56.09</v>
      </c>
      <c r="J24">
        <v>123.05</v>
      </c>
      <c r="K24">
        <v>19.91</v>
      </c>
      <c r="L24">
        <v>308.36</v>
      </c>
      <c r="M24">
        <v>10.8</v>
      </c>
      <c r="N24">
        <v>92.25</v>
      </c>
      <c r="O24">
        <v>82.55</v>
      </c>
      <c r="P24">
        <v>3490.16</v>
      </c>
      <c r="Q24">
        <v>1175.6199999999999</v>
      </c>
    </row>
    <row r="25" spans="1:17" x14ac:dyDescent="0.45">
      <c r="A25" t="str">
        <f t="shared" si="0"/>
        <v>S12049</v>
      </c>
      <c r="B25" t="s">
        <v>959</v>
      </c>
      <c r="C25">
        <v>2049</v>
      </c>
      <c r="D25">
        <v>4115.16</v>
      </c>
      <c r="E25">
        <v>1353.82</v>
      </c>
      <c r="F25">
        <v>625.01</v>
      </c>
      <c r="G25">
        <v>178.19</v>
      </c>
      <c r="H25">
        <v>77.44</v>
      </c>
      <c r="I25">
        <v>58.79</v>
      </c>
      <c r="J25">
        <v>128.59</v>
      </c>
      <c r="K25">
        <v>20.95</v>
      </c>
      <c r="L25">
        <v>322.47000000000003</v>
      </c>
      <c r="M25">
        <v>11.95</v>
      </c>
      <c r="N25">
        <v>96.5</v>
      </c>
      <c r="O25">
        <v>86.51</v>
      </c>
      <c r="P25">
        <v>3490.16</v>
      </c>
      <c r="Q25">
        <v>1175.6199999999999</v>
      </c>
    </row>
    <row r="26" spans="1:17" x14ac:dyDescent="0.45">
      <c r="A26" t="str">
        <f t="shared" si="0"/>
        <v>S12050</v>
      </c>
      <c r="B26" t="s">
        <v>959</v>
      </c>
      <c r="C26">
        <v>2050</v>
      </c>
      <c r="D26">
        <v>4141.78</v>
      </c>
      <c r="E26">
        <v>1362.06</v>
      </c>
      <c r="F26">
        <v>651.62</v>
      </c>
      <c r="G26">
        <v>186.43</v>
      </c>
      <c r="H26">
        <v>80.8</v>
      </c>
      <c r="I26">
        <v>61.38</v>
      </c>
      <c r="J26">
        <v>134.22999999999999</v>
      </c>
      <c r="K26">
        <v>21.53</v>
      </c>
      <c r="L26">
        <v>336.17</v>
      </c>
      <c r="M26">
        <v>13.14</v>
      </c>
      <c r="N26">
        <v>100.42</v>
      </c>
      <c r="O26">
        <v>90.38</v>
      </c>
      <c r="P26">
        <v>3490.16</v>
      </c>
      <c r="Q26">
        <v>1175.6199999999999</v>
      </c>
    </row>
    <row r="27" spans="1:17" x14ac:dyDescent="0.45">
      <c r="A27" t="str">
        <f t="shared" si="0"/>
        <v>S22026</v>
      </c>
      <c r="B27" t="s">
        <v>960</v>
      </c>
      <c r="C27">
        <v>2026</v>
      </c>
      <c r="D27">
        <v>3516.66</v>
      </c>
      <c r="E27">
        <v>1184.51</v>
      </c>
      <c r="F27">
        <v>26.51</v>
      </c>
      <c r="G27">
        <v>8.8800000000000008</v>
      </c>
      <c r="H27">
        <v>1.06</v>
      </c>
      <c r="I27">
        <v>0.54</v>
      </c>
      <c r="J27">
        <v>6.48</v>
      </c>
      <c r="K27">
        <v>0.83</v>
      </c>
      <c r="L27">
        <v>8.1199999999999992</v>
      </c>
      <c r="M27">
        <v>0.16</v>
      </c>
      <c r="N27">
        <v>10.84</v>
      </c>
      <c r="O27">
        <v>7.36</v>
      </c>
      <c r="P27">
        <v>3490.16</v>
      </c>
      <c r="Q27">
        <v>1175.6199999999999</v>
      </c>
    </row>
    <row r="28" spans="1:17" x14ac:dyDescent="0.45">
      <c r="A28" t="str">
        <f t="shared" si="0"/>
        <v>S22027</v>
      </c>
      <c r="B28" t="s">
        <v>960</v>
      </c>
      <c r="C28">
        <v>2027</v>
      </c>
      <c r="D28">
        <v>3542.87</v>
      </c>
      <c r="E28">
        <v>1194.32</v>
      </c>
      <c r="F28">
        <v>52.72</v>
      </c>
      <c r="G28">
        <v>18.690000000000001</v>
      </c>
      <c r="H28">
        <v>2.0699999999999998</v>
      </c>
      <c r="I28">
        <v>1.03</v>
      </c>
      <c r="J28">
        <v>13.18</v>
      </c>
      <c r="K28">
        <v>1.8</v>
      </c>
      <c r="L28">
        <v>15.93</v>
      </c>
      <c r="M28">
        <v>0.28999999999999998</v>
      </c>
      <c r="N28">
        <v>21.53</v>
      </c>
      <c r="O28">
        <v>15.57</v>
      </c>
      <c r="P28">
        <v>3490.16</v>
      </c>
      <c r="Q28">
        <v>1175.6199999999999</v>
      </c>
    </row>
    <row r="29" spans="1:17" x14ac:dyDescent="0.45">
      <c r="A29" t="str">
        <f t="shared" si="0"/>
        <v>S22028</v>
      </c>
      <c r="B29" t="s">
        <v>960</v>
      </c>
      <c r="C29">
        <v>2028</v>
      </c>
      <c r="D29">
        <v>3569.22</v>
      </c>
      <c r="E29">
        <v>1203.82</v>
      </c>
      <c r="F29">
        <v>79.069999999999993</v>
      </c>
      <c r="G29">
        <v>28.19</v>
      </c>
      <c r="H29">
        <v>3.13</v>
      </c>
      <c r="I29">
        <v>1.37</v>
      </c>
      <c r="J29">
        <v>19.84</v>
      </c>
      <c r="K29">
        <v>2.74</v>
      </c>
      <c r="L29">
        <v>23.8</v>
      </c>
      <c r="M29">
        <v>0.34</v>
      </c>
      <c r="N29">
        <v>32.29</v>
      </c>
      <c r="O29">
        <v>23.74</v>
      </c>
      <c r="P29">
        <v>3490.16</v>
      </c>
      <c r="Q29">
        <v>1175.6199999999999</v>
      </c>
    </row>
    <row r="30" spans="1:17" x14ac:dyDescent="0.45">
      <c r="A30" t="str">
        <f t="shared" si="0"/>
        <v>S22029</v>
      </c>
      <c r="B30" t="s">
        <v>960</v>
      </c>
      <c r="C30">
        <v>2029</v>
      </c>
      <c r="D30">
        <v>3596.22</v>
      </c>
      <c r="E30">
        <v>1213.6300000000001</v>
      </c>
      <c r="F30">
        <v>106.07</v>
      </c>
      <c r="G30">
        <v>38.01</v>
      </c>
      <c r="H30">
        <v>4.2699999999999996</v>
      </c>
      <c r="I30">
        <v>1.89</v>
      </c>
      <c r="J30">
        <v>26.5</v>
      </c>
      <c r="K30">
        <v>3.4</v>
      </c>
      <c r="L30">
        <v>32.08</v>
      </c>
      <c r="M30">
        <v>0.43</v>
      </c>
      <c r="N30">
        <v>43.2</v>
      </c>
      <c r="O30">
        <v>32.29</v>
      </c>
      <c r="P30">
        <v>3490.16</v>
      </c>
      <c r="Q30">
        <v>1175.6199999999999</v>
      </c>
    </row>
    <row r="31" spans="1:17" x14ac:dyDescent="0.45">
      <c r="A31" t="str">
        <f t="shared" si="0"/>
        <v>S22030</v>
      </c>
      <c r="B31" t="s">
        <v>960</v>
      </c>
      <c r="C31">
        <v>2030</v>
      </c>
      <c r="D31">
        <v>3623.36</v>
      </c>
      <c r="E31">
        <v>1223.55</v>
      </c>
      <c r="F31">
        <v>133.21</v>
      </c>
      <c r="G31">
        <v>47.92</v>
      </c>
      <c r="H31">
        <v>5.36</v>
      </c>
      <c r="I31">
        <v>2.56</v>
      </c>
      <c r="J31">
        <v>33.46</v>
      </c>
      <c r="K31">
        <v>4.07</v>
      </c>
      <c r="L31">
        <v>40.28</v>
      </c>
      <c r="M31">
        <v>0.45</v>
      </c>
      <c r="N31">
        <v>54.11</v>
      </c>
      <c r="O31">
        <v>40.840000000000003</v>
      </c>
      <c r="P31">
        <v>3490.16</v>
      </c>
      <c r="Q31">
        <v>1175.6199999999999</v>
      </c>
    </row>
    <row r="32" spans="1:17" x14ac:dyDescent="0.45">
      <c r="A32" t="str">
        <f t="shared" si="0"/>
        <v>S22031</v>
      </c>
      <c r="B32" t="s">
        <v>960</v>
      </c>
      <c r="C32">
        <v>2031</v>
      </c>
      <c r="D32">
        <v>3650.74</v>
      </c>
      <c r="E32">
        <v>1233.29</v>
      </c>
      <c r="F32">
        <v>160.59</v>
      </c>
      <c r="G32">
        <v>57.66</v>
      </c>
      <c r="H32">
        <v>6.34</v>
      </c>
      <c r="I32">
        <v>3.15</v>
      </c>
      <c r="J32">
        <v>40.340000000000003</v>
      </c>
      <c r="K32">
        <v>4.6100000000000003</v>
      </c>
      <c r="L32">
        <v>48.6</v>
      </c>
      <c r="M32">
        <v>0.52</v>
      </c>
      <c r="N32">
        <v>65.3</v>
      </c>
      <c r="O32">
        <v>49.39</v>
      </c>
      <c r="P32">
        <v>3490.16</v>
      </c>
      <c r="Q32">
        <v>1175.6199999999999</v>
      </c>
    </row>
    <row r="33" spans="1:17" x14ac:dyDescent="0.45">
      <c r="A33" t="str">
        <f t="shared" si="0"/>
        <v>S22032</v>
      </c>
      <c r="B33" t="s">
        <v>960</v>
      </c>
      <c r="C33">
        <v>2032</v>
      </c>
      <c r="D33">
        <v>3677.76</v>
      </c>
      <c r="E33">
        <v>1242.76</v>
      </c>
      <c r="F33">
        <v>187.61</v>
      </c>
      <c r="G33">
        <v>67.13</v>
      </c>
      <c r="H33">
        <v>7.29</v>
      </c>
      <c r="I33">
        <v>3.71</v>
      </c>
      <c r="J33">
        <v>47.05</v>
      </c>
      <c r="K33">
        <v>5.29</v>
      </c>
      <c r="L33">
        <v>56.88</v>
      </c>
      <c r="M33">
        <v>0.63</v>
      </c>
      <c r="N33">
        <v>76.39</v>
      </c>
      <c r="O33">
        <v>57.51</v>
      </c>
      <c r="P33">
        <v>3490.16</v>
      </c>
      <c r="Q33">
        <v>1175.6199999999999</v>
      </c>
    </row>
    <row r="34" spans="1:17" x14ac:dyDescent="0.45">
      <c r="A34" t="str">
        <f t="shared" si="0"/>
        <v>S22033</v>
      </c>
      <c r="B34" t="s">
        <v>960</v>
      </c>
      <c r="C34">
        <v>2033</v>
      </c>
      <c r="D34">
        <v>3705.14</v>
      </c>
      <c r="E34">
        <v>1252.3699999999999</v>
      </c>
      <c r="F34">
        <v>214.99</v>
      </c>
      <c r="G34">
        <v>76.739999999999995</v>
      </c>
      <c r="H34">
        <v>8.32</v>
      </c>
      <c r="I34">
        <v>4.32</v>
      </c>
      <c r="J34">
        <v>53.98</v>
      </c>
      <c r="K34">
        <v>5.74</v>
      </c>
      <c r="L34">
        <v>65.27</v>
      </c>
      <c r="M34">
        <v>0.7</v>
      </c>
      <c r="N34">
        <v>87.41</v>
      </c>
      <c r="O34">
        <v>65.989999999999995</v>
      </c>
      <c r="P34">
        <v>3490.16</v>
      </c>
      <c r="Q34">
        <v>1175.6199999999999</v>
      </c>
    </row>
    <row r="35" spans="1:17" x14ac:dyDescent="0.45">
      <c r="A35" t="str">
        <f t="shared" si="0"/>
        <v>S22034</v>
      </c>
      <c r="B35" t="s">
        <v>960</v>
      </c>
      <c r="C35">
        <v>2034</v>
      </c>
      <c r="D35">
        <v>3732.44</v>
      </c>
      <c r="E35">
        <v>1261.8399999999999</v>
      </c>
      <c r="F35">
        <v>242.29</v>
      </c>
      <c r="G35">
        <v>86.21</v>
      </c>
      <c r="H35">
        <v>9.34</v>
      </c>
      <c r="I35">
        <v>4.8600000000000003</v>
      </c>
      <c r="J35">
        <v>60.88</v>
      </c>
      <c r="K35">
        <v>6.23</v>
      </c>
      <c r="L35">
        <v>73.42</v>
      </c>
      <c r="M35">
        <v>0.76</v>
      </c>
      <c r="N35">
        <v>98.64</v>
      </c>
      <c r="O35">
        <v>74.36</v>
      </c>
      <c r="P35">
        <v>3490.16</v>
      </c>
      <c r="Q35">
        <v>1175.6199999999999</v>
      </c>
    </row>
    <row r="36" spans="1:17" x14ac:dyDescent="0.45">
      <c r="A36" t="str">
        <f t="shared" si="0"/>
        <v>S22035</v>
      </c>
      <c r="B36" t="s">
        <v>960</v>
      </c>
      <c r="C36">
        <v>2035</v>
      </c>
      <c r="D36">
        <v>3760.04</v>
      </c>
      <c r="E36">
        <v>1271.74</v>
      </c>
      <c r="F36">
        <v>269.89</v>
      </c>
      <c r="G36">
        <v>96.12</v>
      </c>
      <c r="H36">
        <v>10.33</v>
      </c>
      <c r="I36">
        <v>5.56</v>
      </c>
      <c r="J36">
        <v>67.63</v>
      </c>
      <c r="K36">
        <v>6.82</v>
      </c>
      <c r="L36">
        <v>81.81</v>
      </c>
      <c r="M36">
        <v>0.79</v>
      </c>
      <c r="N36">
        <v>110.12</v>
      </c>
      <c r="O36">
        <v>82.96</v>
      </c>
      <c r="P36">
        <v>3490.16</v>
      </c>
      <c r="Q36">
        <v>1175.6199999999999</v>
      </c>
    </row>
    <row r="37" spans="1:17" x14ac:dyDescent="0.45">
      <c r="A37" t="str">
        <f t="shared" si="0"/>
        <v>S22036</v>
      </c>
      <c r="B37" t="s">
        <v>960</v>
      </c>
      <c r="C37">
        <v>2036</v>
      </c>
      <c r="D37">
        <v>3788.14</v>
      </c>
      <c r="E37">
        <v>1281.49</v>
      </c>
      <c r="F37">
        <v>297.99</v>
      </c>
      <c r="G37">
        <v>105.86</v>
      </c>
      <c r="H37">
        <v>11.36</v>
      </c>
      <c r="I37">
        <v>6.21</v>
      </c>
      <c r="J37">
        <v>74.790000000000006</v>
      </c>
      <c r="K37">
        <v>7.49</v>
      </c>
      <c r="L37">
        <v>90.47</v>
      </c>
      <c r="M37">
        <v>0.86</v>
      </c>
      <c r="N37">
        <v>121.36</v>
      </c>
      <c r="O37">
        <v>91.3</v>
      </c>
      <c r="P37">
        <v>3490.16</v>
      </c>
      <c r="Q37">
        <v>1175.6199999999999</v>
      </c>
    </row>
    <row r="38" spans="1:17" x14ac:dyDescent="0.45">
      <c r="A38" t="str">
        <f t="shared" si="0"/>
        <v>S22037</v>
      </c>
      <c r="B38" t="s">
        <v>960</v>
      </c>
      <c r="C38">
        <v>2037</v>
      </c>
      <c r="D38">
        <v>3815.53</v>
      </c>
      <c r="E38">
        <v>1291.8800000000001</v>
      </c>
      <c r="F38">
        <v>325.38</v>
      </c>
      <c r="G38">
        <v>116.26</v>
      </c>
      <c r="H38">
        <v>12.46</v>
      </c>
      <c r="I38">
        <v>6.88</v>
      </c>
      <c r="J38">
        <v>81.680000000000007</v>
      </c>
      <c r="K38">
        <v>8.1</v>
      </c>
      <c r="L38">
        <v>98.62</v>
      </c>
      <c r="M38">
        <v>0.88</v>
      </c>
      <c r="N38">
        <v>132.62</v>
      </c>
      <c r="O38">
        <v>100.4</v>
      </c>
      <c r="P38">
        <v>3490.16</v>
      </c>
      <c r="Q38">
        <v>1175.6199999999999</v>
      </c>
    </row>
    <row r="39" spans="1:17" x14ac:dyDescent="0.45">
      <c r="A39" t="str">
        <f t="shared" si="0"/>
        <v>S22038</v>
      </c>
      <c r="B39" t="s">
        <v>960</v>
      </c>
      <c r="C39">
        <v>2038</v>
      </c>
      <c r="D39">
        <v>3843.54</v>
      </c>
      <c r="E39">
        <v>1302.32</v>
      </c>
      <c r="F39">
        <v>353.39</v>
      </c>
      <c r="G39">
        <v>126.69</v>
      </c>
      <c r="H39">
        <v>13.48</v>
      </c>
      <c r="I39">
        <v>7.56</v>
      </c>
      <c r="J39">
        <v>88.63</v>
      </c>
      <c r="K39">
        <v>8.5</v>
      </c>
      <c r="L39">
        <v>107.37</v>
      </c>
      <c r="M39">
        <v>0.99</v>
      </c>
      <c r="N39">
        <v>143.91</v>
      </c>
      <c r="O39">
        <v>109.64</v>
      </c>
      <c r="P39">
        <v>3490.16</v>
      </c>
      <c r="Q39">
        <v>1175.6199999999999</v>
      </c>
    </row>
    <row r="40" spans="1:17" x14ac:dyDescent="0.45">
      <c r="A40" t="str">
        <f t="shared" si="0"/>
        <v>S22039</v>
      </c>
      <c r="B40" t="s">
        <v>960</v>
      </c>
      <c r="C40">
        <v>2039</v>
      </c>
      <c r="D40">
        <v>3871.48</v>
      </c>
      <c r="E40">
        <v>1312.58</v>
      </c>
      <c r="F40">
        <v>381.33</v>
      </c>
      <c r="G40">
        <v>136.94999999999999</v>
      </c>
      <c r="H40">
        <v>14.38</v>
      </c>
      <c r="I40">
        <v>8.1</v>
      </c>
      <c r="J40">
        <v>95.83</v>
      </c>
      <c r="K40">
        <v>8.93</v>
      </c>
      <c r="L40">
        <v>115.94</v>
      </c>
      <c r="M40">
        <v>1.08</v>
      </c>
      <c r="N40">
        <v>155.18</v>
      </c>
      <c r="O40">
        <v>118.84</v>
      </c>
      <c r="P40">
        <v>3490.16</v>
      </c>
      <c r="Q40">
        <v>1175.6199999999999</v>
      </c>
    </row>
    <row r="41" spans="1:17" x14ac:dyDescent="0.45">
      <c r="A41" t="str">
        <f t="shared" si="0"/>
        <v>S22040</v>
      </c>
      <c r="B41" t="s">
        <v>960</v>
      </c>
      <c r="C41">
        <v>2040</v>
      </c>
      <c r="D41">
        <v>3899.9</v>
      </c>
      <c r="E41">
        <v>1323.32</v>
      </c>
      <c r="F41">
        <v>409.75</v>
      </c>
      <c r="G41">
        <v>147.69</v>
      </c>
      <c r="H41">
        <v>15.37</v>
      </c>
      <c r="I41">
        <v>8.73</v>
      </c>
      <c r="J41">
        <v>102.98</v>
      </c>
      <c r="K41">
        <v>9.2899999999999991</v>
      </c>
      <c r="L41">
        <v>124.49</v>
      </c>
      <c r="M41">
        <v>1.1499999999999999</v>
      </c>
      <c r="N41">
        <v>166.9</v>
      </c>
      <c r="O41">
        <v>128.52000000000001</v>
      </c>
      <c r="P41">
        <v>3490.16</v>
      </c>
      <c r="Q41">
        <v>1175.6199999999999</v>
      </c>
    </row>
    <row r="42" spans="1:17" x14ac:dyDescent="0.45">
      <c r="A42" t="str">
        <f t="shared" si="0"/>
        <v>S22041</v>
      </c>
      <c r="B42" t="s">
        <v>960</v>
      </c>
      <c r="C42">
        <v>2041</v>
      </c>
      <c r="D42">
        <v>3928.14</v>
      </c>
      <c r="E42">
        <v>1334.02</v>
      </c>
      <c r="F42">
        <v>437.99</v>
      </c>
      <c r="G42">
        <v>158.38999999999999</v>
      </c>
      <c r="H42">
        <v>16.38</v>
      </c>
      <c r="I42">
        <v>9.32</v>
      </c>
      <c r="J42">
        <v>110.16</v>
      </c>
      <c r="K42">
        <v>9.8800000000000008</v>
      </c>
      <c r="L42">
        <v>133.16</v>
      </c>
      <c r="M42">
        <v>1.26</v>
      </c>
      <c r="N42">
        <v>178.29</v>
      </c>
      <c r="O42">
        <v>137.94999999999999</v>
      </c>
      <c r="P42">
        <v>3490.16</v>
      </c>
      <c r="Q42">
        <v>1175.6199999999999</v>
      </c>
    </row>
    <row r="43" spans="1:17" x14ac:dyDescent="0.45">
      <c r="A43" t="str">
        <f t="shared" si="0"/>
        <v>S22042</v>
      </c>
      <c r="B43" t="s">
        <v>960</v>
      </c>
      <c r="C43">
        <v>2042</v>
      </c>
      <c r="D43">
        <v>3956.38</v>
      </c>
      <c r="E43">
        <v>1344.82</v>
      </c>
      <c r="F43">
        <v>466.23</v>
      </c>
      <c r="G43">
        <v>169.19</v>
      </c>
      <c r="H43">
        <v>17.420000000000002</v>
      </c>
      <c r="I43">
        <v>9.92</v>
      </c>
      <c r="J43">
        <v>117.45</v>
      </c>
      <c r="K43">
        <v>10.26</v>
      </c>
      <c r="L43">
        <v>141.69999999999999</v>
      </c>
      <c r="M43">
        <v>1.4</v>
      </c>
      <c r="N43">
        <v>189.65</v>
      </c>
      <c r="O43">
        <v>147.62</v>
      </c>
      <c r="P43">
        <v>3490.16</v>
      </c>
      <c r="Q43">
        <v>1175.6199999999999</v>
      </c>
    </row>
    <row r="44" spans="1:17" x14ac:dyDescent="0.45">
      <c r="A44" t="str">
        <f t="shared" si="0"/>
        <v>S22043</v>
      </c>
      <c r="B44" t="s">
        <v>960</v>
      </c>
      <c r="C44">
        <v>2043</v>
      </c>
      <c r="D44">
        <v>3984.62</v>
      </c>
      <c r="E44">
        <v>1355.54</v>
      </c>
      <c r="F44">
        <v>494.47</v>
      </c>
      <c r="G44">
        <v>179.91</v>
      </c>
      <c r="H44">
        <v>18.45</v>
      </c>
      <c r="I44">
        <v>10.48</v>
      </c>
      <c r="J44">
        <v>124.9</v>
      </c>
      <c r="K44">
        <v>10.58</v>
      </c>
      <c r="L44">
        <v>150.05000000000001</v>
      </c>
      <c r="M44">
        <v>1.46</v>
      </c>
      <c r="N44">
        <v>201.06</v>
      </c>
      <c r="O44">
        <v>157.38999999999999</v>
      </c>
      <c r="P44">
        <v>3490.16</v>
      </c>
      <c r="Q44">
        <v>1175.6199999999999</v>
      </c>
    </row>
    <row r="45" spans="1:17" x14ac:dyDescent="0.45">
      <c r="A45" t="str">
        <f t="shared" si="0"/>
        <v>S22044</v>
      </c>
      <c r="B45" t="s">
        <v>960</v>
      </c>
      <c r="C45">
        <v>2044</v>
      </c>
      <c r="D45">
        <v>4013.03</v>
      </c>
      <c r="E45">
        <v>1366.54</v>
      </c>
      <c r="F45">
        <v>522.88</v>
      </c>
      <c r="G45">
        <v>190.91</v>
      </c>
      <c r="H45">
        <v>19.46</v>
      </c>
      <c r="I45">
        <v>11.2</v>
      </c>
      <c r="J45">
        <v>132.47999999999999</v>
      </c>
      <c r="K45">
        <v>10.91</v>
      </c>
      <c r="L45">
        <v>158.44</v>
      </c>
      <c r="M45">
        <v>1.53</v>
      </c>
      <c r="N45">
        <v>212.49</v>
      </c>
      <c r="O45">
        <v>167.26</v>
      </c>
      <c r="P45">
        <v>3490.16</v>
      </c>
      <c r="Q45">
        <v>1175.6199999999999</v>
      </c>
    </row>
    <row r="46" spans="1:17" x14ac:dyDescent="0.45">
      <c r="A46" t="str">
        <f t="shared" si="0"/>
        <v>S22045</v>
      </c>
      <c r="B46" t="s">
        <v>960</v>
      </c>
      <c r="C46">
        <v>2045</v>
      </c>
      <c r="D46">
        <v>4041.63</v>
      </c>
      <c r="E46">
        <v>1378.01</v>
      </c>
      <c r="F46">
        <v>551.48</v>
      </c>
      <c r="G46">
        <v>202.38</v>
      </c>
      <c r="H46">
        <v>20.52</v>
      </c>
      <c r="I46">
        <v>12.01</v>
      </c>
      <c r="J46">
        <v>139.94999999999999</v>
      </c>
      <c r="K46">
        <v>11.5</v>
      </c>
      <c r="L46">
        <v>166.82</v>
      </c>
      <c r="M46">
        <v>1.64</v>
      </c>
      <c r="N46">
        <v>224.19</v>
      </c>
      <c r="O46">
        <v>177.23</v>
      </c>
      <c r="P46">
        <v>3490.16</v>
      </c>
      <c r="Q46">
        <v>1175.6199999999999</v>
      </c>
    </row>
    <row r="47" spans="1:17" x14ac:dyDescent="0.45">
      <c r="A47" t="str">
        <f t="shared" si="0"/>
        <v>S22046</v>
      </c>
      <c r="B47" t="s">
        <v>960</v>
      </c>
      <c r="C47">
        <v>2046</v>
      </c>
      <c r="D47">
        <v>4070.18</v>
      </c>
      <c r="E47">
        <v>1389.31</v>
      </c>
      <c r="F47">
        <v>580.03</v>
      </c>
      <c r="G47">
        <v>213.68</v>
      </c>
      <c r="H47">
        <v>21.58</v>
      </c>
      <c r="I47">
        <v>12.62</v>
      </c>
      <c r="J47">
        <v>147.22</v>
      </c>
      <c r="K47">
        <v>12.01</v>
      </c>
      <c r="L47">
        <v>175.16</v>
      </c>
      <c r="M47">
        <v>1.71</v>
      </c>
      <c r="N47">
        <v>236.07</v>
      </c>
      <c r="O47">
        <v>187.33</v>
      </c>
      <c r="P47">
        <v>3490.16</v>
      </c>
      <c r="Q47">
        <v>1175.6199999999999</v>
      </c>
    </row>
    <row r="48" spans="1:17" x14ac:dyDescent="0.45">
      <c r="A48" t="str">
        <f t="shared" si="0"/>
        <v>S22047</v>
      </c>
      <c r="B48" t="s">
        <v>960</v>
      </c>
      <c r="C48">
        <v>2047</v>
      </c>
      <c r="D48">
        <v>4098.82</v>
      </c>
      <c r="E48">
        <v>1400.22</v>
      </c>
      <c r="F48">
        <v>608.66</v>
      </c>
      <c r="G48">
        <v>224.6</v>
      </c>
      <c r="H48">
        <v>22.59</v>
      </c>
      <c r="I48">
        <v>13.12</v>
      </c>
      <c r="J48">
        <v>154.47999999999999</v>
      </c>
      <c r="K48">
        <v>12.53</v>
      </c>
      <c r="L48">
        <v>183.78</v>
      </c>
      <c r="M48">
        <v>1.76</v>
      </c>
      <c r="N48">
        <v>247.82</v>
      </c>
      <c r="O48">
        <v>197.19</v>
      </c>
      <c r="P48">
        <v>3490.16</v>
      </c>
      <c r="Q48">
        <v>1175.6199999999999</v>
      </c>
    </row>
    <row r="49" spans="1:17" x14ac:dyDescent="0.45">
      <c r="A49" t="str">
        <f t="shared" si="0"/>
        <v>S22048</v>
      </c>
      <c r="B49" t="s">
        <v>960</v>
      </c>
      <c r="C49">
        <v>2048</v>
      </c>
      <c r="D49">
        <v>4127.13</v>
      </c>
      <c r="E49">
        <v>1410.75</v>
      </c>
      <c r="F49">
        <v>636.98</v>
      </c>
      <c r="G49">
        <v>235.12</v>
      </c>
      <c r="H49">
        <v>23.74</v>
      </c>
      <c r="I49">
        <v>13.88</v>
      </c>
      <c r="J49">
        <v>161.80000000000001</v>
      </c>
      <c r="K49">
        <v>12.92</v>
      </c>
      <c r="L49">
        <v>192.2</v>
      </c>
      <c r="M49">
        <v>1.84</v>
      </c>
      <c r="N49">
        <v>259.24</v>
      </c>
      <c r="O49">
        <v>206.48</v>
      </c>
      <c r="P49">
        <v>3490.16</v>
      </c>
      <c r="Q49">
        <v>1175.6199999999999</v>
      </c>
    </row>
    <row r="50" spans="1:17" x14ac:dyDescent="0.45">
      <c r="A50" t="str">
        <f t="shared" si="0"/>
        <v>S22049</v>
      </c>
      <c r="B50" t="s">
        <v>960</v>
      </c>
      <c r="C50">
        <v>2049</v>
      </c>
      <c r="D50">
        <v>4155.57</v>
      </c>
      <c r="E50">
        <v>1420.9</v>
      </c>
      <c r="F50">
        <v>665.42</v>
      </c>
      <c r="G50">
        <v>245.28</v>
      </c>
      <c r="H50">
        <v>24.77</v>
      </c>
      <c r="I50">
        <v>14.44</v>
      </c>
      <c r="J50">
        <v>169.11</v>
      </c>
      <c r="K50">
        <v>13.34</v>
      </c>
      <c r="L50">
        <v>200.66</v>
      </c>
      <c r="M50">
        <v>1.87</v>
      </c>
      <c r="N50">
        <v>270.88</v>
      </c>
      <c r="O50">
        <v>215.62</v>
      </c>
      <c r="P50">
        <v>3490.16</v>
      </c>
      <c r="Q50">
        <v>1175.6199999999999</v>
      </c>
    </row>
    <row r="51" spans="1:17" x14ac:dyDescent="0.45">
      <c r="A51" t="str">
        <f t="shared" si="0"/>
        <v>S22050</v>
      </c>
      <c r="B51" t="s">
        <v>960</v>
      </c>
      <c r="C51">
        <v>2050</v>
      </c>
      <c r="D51">
        <v>4184.08</v>
      </c>
      <c r="E51">
        <v>1431.36</v>
      </c>
      <c r="F51">
        <v>693.93</v>
      </c>
      <c r="G51">
        <v>255.73</v>
      </c>
      <c r="H51">
        <v>25.83</v>
      </c>
      <c r="I51">
        <v>15.23</v>
      </c>
      <c r="J51">
        <v>176.51</v>
      </c>
      <c r="K51">
        <v>13.77</v>
      </c>
      <c r="L51">
        <v>209.18</v>
      </c>
      <c r="M51">
        <v>1.93</v>
      </c>
      <c r="N51">
        <v>282.39999999999998</v>
      </c>
      <c r="O51">
        <v>224.8</v>
      </c>
      <c r="P51">
        <v>3490.16</v>
      </c>
      <c r="Q51">
        <v>1175.6199999999999</v>
      </c>
    </row>
    <row r="52" spans="1:17" x14ac:dyDescent="0.45">
      <c r="A52" t="str">
        <f t="shared" si="0"/>
        <v>S32026</v>
      </c>
      <c r="B52" t="s">
        <v>961</v>
      </c>
      <c r="C52">
        <v>2026</v>
      </c>
      <c r="D52">
        <v>3515.06</v>
      </c>
      <c r="E52">
        <v>1180.82</v>
      </c>
      <c r="F52">
        <v>24.91</v>
      </c>
      <c r="G52">
        <v>5.19</v>
      </c>
      <c r="H52">
        <v>2.99</v>
      </c>
      <c r="I52">
        <v>1.3</v>
      </c>
      <c r="J52">
        <v>5.04</v>
      </c>
      <c r="K52">
        <v>0.74</v>
      </c>
      <c r="L52">
        <v>12.98</v>
      </c>
      <c r="M52">
        <v>0.18</v>
      </c>
      <c r="N52">
        <v>3.89</v>
      </c>
      <c r="O52">
        <v>2.97</v>
      </c>
      <c r="P52">
        <v>3490.16</v>
      </c>
      <c r="Q52">
        <v>1175.6199999999999</v>
      </c>
    </row>
    <row r="53" spans="1:17" x14ac:dyDescent="0.45">
      <c r="A53" t="str">
        <f t="shared" si="0"/>
        <v>S32027</v>
      </c>
      <c r="B53" t="s">
        <v>961</v>
      </c>
      <c r="C53">
        <v>2027</v>
      </c>
      <c r="D53">
        <v>3539.77</v>
      </c>
      <c r="E53">
        <v>1187.0999999999999</v>
      </c>
      <c r="F53">
        <v>49.62</v>
      </c>
      <c r="G53">
        <v>11.47</v>
      </c>
      <c r="H53">
        <v>6.1</v>
      </c>
      <c r="I53">
        <v>3.15</v>
      </c>
      <c r="J53">
        <v>10.039999999999999</v>
      </c>
      <c r="K53">
        <v>1.6</v>
      </c>
      <c r="L53">
        <v>25.67</v>
      </c>
      <c r="M53">
        <v>0.52</v>
      </c>
      <c r="N53">
        <v>7.81</v>
      </c>
      <c r="O53">
        <v>6.21</v>
      </c>
      <c r="P53">
        <v>3490.16</v>
      </c>
      <c r="Q53">
        <v>1175.6199999999999</v>
      </c>
    </row>
    <row r="54" spans="1:17" x14ac:dyDescent="0.45">
      <c r="A54" t="str">
        <f t="shared" si="0"/>
        <v>S32028</v>
      </c>
      <c r="B54" t="s">
        <v>961</v>
      </c>
      <c r="C54">
        <v>2028</v>
      </c>
      <c r="D54">
        <v>3564.34</v>
      </c>
      <c r="E54">
        <v>1193.47</v>
      </c>
      <c r="F54">
        <v>74.19</v>
      </c>
      <c r="G54">
        <v>17.850000000000001</v>
      </c>
      <c r="H54">
        <v>9.07</v>
      </c>
      <c r="I54">
        <v>5.22</v>
      </c>
      <c r="J54">
        <v>15.01</v>
      </c>
      <c r="K54">
        <v>2.5</v>
      </c>
      <c r="L54">
        <v>38.450000000000003</v>
      </c>
      <c r="M54">
        <v>0.74</v>
      </c>
      <c r="N54">
        <v>11.66</v>
      </c>
      <c r="O54">
        <v>9.3800000000000008</v>
      </c>
      <c r="P54">
        <v>3490.16</v>
      </c>
      <c r="Q54">
        <v>1175.6199999999999</v>
      </c>
    </row>
    <row r="55" spans="1:17" x14ac:dyDescent="0.45">
      <c r="A55" t="str">
        <f t="shared" si="0"/>
        <v>S32029</v>
      </c>
      <c r="B55" t="s">
        <v>961</v>
      </c>
      <c r="C55">
        <v>2029</v>
      </c>
      <c r="D55">
        <v>3589.58</v>
      </c>
      <c r="E55">
        <v>1199.77</v>
      </c>
      <c r="F55">
        <v>99.43</v>
      </c>
      <c r="G55">
        <v>24.14</v>
      </c>
      <c r="H55">
        <v>12.06</v>
      </c>
      <c r="I55">
        <v>7.34</v>
      </c>
      <c r="J55">
        <v>20.43</v>
      </c>
      <c r="K55">
        <v>3.35</v>
      </c>
      <c r="L55">
        <v>51.34</v>
      </c>
      <c r="M55">
        <v>0.81</v>
      </c>
      <c r="N55">
        <v>15.59</v>
      </c>
      <c r="O55">
        <v>12.64</v>
      </c>
      <c r="P55">
        <v>3490.16</v>
      </c>
      <c r="Q55">
        <v>1175.6199999999999</v>
      </c>
    </row>
    <row r="56" spans="1:17" x14ac:dyDescent="0.45">
      <c r="A56" t="str">
        <f t="shared" si="0"/>
        <v>S32030</v>
      </c>
      <c r="B56" t="s">
        <v>961</v>
      </c>
      <c r="C56">
        <v>2030</v>
      </c>
      <c r="D56">
        <v>3614.78</v>
      </c>
      <c r="E56">
        <v>1206.3800000000001</v>
      </c>
      <c r="F56">
        <v>124.63</v>
      </c>
      <c r="G56">
        <v>30.76</v>
      </c>
      <c r="H56">
        <v>15.12</v>
      </c>
      <c r="I56">
        <v>9.43</v>
      </c>
      <c r="J56">
        <v>25.22</v>
      </c>
      <c r="K56">
        <v>4.16</v>
      </c>
      <c r="L56">
        <v>64.64</v>
      </c>
      <c r="M56">
        <v>1.03</v>
      </c>
      <c r="N56">
        <v>19.64</v>
      </c>
      <c r="O56">
        <v>16.13</v>
      </c>
      <c r="P56">
        <v>3490.16</v>
      </c>
      <c r="Q56">
        <v>1175.6199999999999</v>
      </c>
    </row>
    <row r="57" spans="1:17" x14ac:dyDescent="0.45">
      <c r="A57" t="str">
        <f t="shared" si="0"/>
        <v>S32031</v>
      </c>
      <c r="B57" t="s">
        <v>961</v>
      </c>
      <c r="C57">
        <v>2031</v>
      </c>
      <c r="D57">
        <v>3640.21</v>
      </c>
      <c r="E57">
        <v>1213.3599999999999</v>
      </c>
      <c r="F57">
        <v>150.06</v>
      </c>
      <c r="G57">
        <v>37.729999999999997</v>
      </c>
      <c r="H57">
        <v>18.25</v>
      </c>
      <c r="I57">
        <v>11.9</v>
      </c>
      <c r="J57">
        <v>30.35</v>
      </c>
      <c r="K57">
        <v>5.15</v>
      </c>
      <c r="L57">
        <v>77.8</v>
      </c>
      <c r="M57">
        <v>1.17</v>
      </c>
      <c r="N57">
        <v>23.65</v>
      </c>
      <c r="O57">
        <v>19.510000000000002</v>
      </c>
      <c r="P57">
        <v>3490.16</v>
      </c>
      <c r="Q57">
        <v>1175.6199999999999</v>
      </c>
    </row>
    <row r="58" spans="1:17" x14ac:dyDescent="0.45">
      <c r="A58" t="str">
        <f t="shared" si="0"/>
        <v>S32032</v>
      </c>
      <c r="B58" t="s">
        <v>961</v>
      </c>
      <c r="C58">
        <v>2032</v>
      </c>
      <c r="D58">
        <v>3665.88</v>
      </c>
      <c r="E58">
        <v>1220.2</v>
      </c>
      <c r="F58">
        <v>175.73</v>
      </c>
      <c r="G58">
        <v>44.58</v>
      </c>
      <c r="H58">
        <v>21.44</v>
      </c>
      <c r="I58">
        <v>14.29</v>
      </c>
      <c r="J58">
        <v>35.6</v>
      </c>
      <c r="K58">
        <v>5.78</v>
      </c>
      <c r="L58">
        <v>91.17</v>
      </c>
      <c r="M58">
        <v>1.42</v>
      </c>
      <c r="N58">
        <v>27.52</v>
      </c>
      <c r="O58">
        <v>23.08</v>
      </c>
      <c r="P58">
        <v>3490.16</v>
      </c>
      <c r="Q58">
        <v>1175.6199999999999</v>
      </c>
    </row>
    <row r="59" spans="1:17" x14ac:dyDescent="0.45">
      <c r="A59" t="str">
        <f t="shared" si="0"/>
        <v>S32033</v>
      </c>
      <c r="B59" t="s">
        <v>961</v>
      </c>
      <c r="C59">
        <v>2033</v>
      </c>
      <c r="D59">
        <v>3691.44</v>
      </c>
      <c r="E59">
        <v>1227.44</v>
      </c>
      <c r="F59">
        <v>201.29</v>
      </c>
      <c r="G59">
        <v>51.82</v>
      </c>
      <c r="H59">
        <v>24.57</v>
      </c>
      <c r="I59">
        <v>16.649999999999999</v>
      </c>
      <c r="J59">
        <v>40.75</v>
      </c>
      <c r="K59">
        <v>6.61</v>
      </c>
      <c r="L59">
        <v>104.47</v>
      </c>
      <c r="M59">
        <v>1.8</v>
      </c>
      <c r="N59">
        <v>31.5</v>
      </c>
      <c r="O59">
        <v>26.75</v>
      </c>
      <c r="P59">
        <v>3490.16</v>
      </c>
      <c r="Q59">
        <v>1175.6199999999999</v>
      </c>
    </row>
    <row r="60" spans="1:17" x14ac:dyDescent="0.45">
      <c r="A60" t="str">
        <f t="shared" si="0"/>
        <v>S32034</v>
      </c>
      <c r="B60" t="s">
        <v>961</v>
      </c>
      <c r="C60">
        <v>2034</v>
      </c>
      <c r="D60">
        <v>3717.07</v>
      </c>
      <c r="E60">
        <v>1234.53</v>
      </c>
      <c r="F60">
        <v>226.92</v>
      </c>
      <c r="G60">
        <v>58.9</v>
      </c>
      <c r="H60">
        <v>27.58</v>
      </c>
      <c r="I60">
        <v>18.899999999999999</v>
      </c>
      <c r="J60">
        <v>46.22</v>
      </c>
      <c r="K60">
        <v>7.45</v>
      </c>
      <c r="L60">
        <v>117.56</v>
      </c>
      <c r="M60">
        <v>2.09</v>
      </c>
      <c r="N60">
        <v>35.549999999999997</v>
      </c>
      <c r="O60">
        <v>30.46</v>
      </c>
      <c r="P60">
        <v>3490.16</v>
      </c>
      <c r="Q60">
        <v>1175.6199999999999</v>
      </c>
    </row>
    <row r="61" spans="1:17" x14ac:dyDescent="0.45">
      <c r="A61" t="str">
        <f t="shared" si="0"/>
        <v>S32035</v>
      </c>
      <c r="B61" t="s">
        <v>961</v>
      </c>
      <c r="C61">
        <v>2035</v>
      </c>
      <c r="D61">
        <v>3743.03</v>
      </c>
      <c r="E61">
        <v>1241.98</v>
      </c>
      <c r="F61">
        <v>252.88</v>
      </c>
      <c r="G61">
        <v>66.36</v>
      </c>
      <c r="H61">
        <v>30.78</v>
      </c>
      <c r="I61">
        <v>21.51</v>
      </c>
      <c r="J61">
        <v>51.57</v>
      </c>
      <c r="K61">
        <v>8.26</v>
      </c>
      <c r="L61">
        <v>130.9</v>
      </c>
      <c r="M61">
        <v>2.2999999999999998</v>
      </c>
      <c r="N61">
        <v>39.619999999999997</v>
      </c>
      <c r="O61">
        <v>34.29</v>
      </c>
      <c r="P61">
        <v>3490.16</v>
      </c>
      <c r="Q61">
        <v>1175.6199999999999</v>
      </c>
    </row>
    <row r="62" spans="1:17" x14ac:dyDescent="0.45">
      <c r="A62" t="str">
        <f t="shared" si="0"/>
        <v>S32036</v>
      </c>
      <c r="B62" t="s">
        <v>961</v>
      </c>
      <c r="C62">
        <v>2036</v>
      </c>
      <c r="D62">
        <v>3769.11</v>
      </c>
      <c r="E62">
        <v>1249.6300000000001</v>
      </c>
      <c r="F62">
        <v>278.95999999999998</v>
      </c>
      <c r="G62">
        <v>74.010000000000005</v>
      </c>
      <c r="H62">
        <v>33.880000000000003</v>
      </c>
      <c r="I62">
        <v>24.12</v>
      </c>
      <c r="J62">
        <v>56.95</v>
      </c>
      <c r="K62">
        <v>9.2200000000000006</v>
      </c>
      <c r="L62">
        <v>144.52000000000001</v>
      </c>
      <c r="M62">
        <v>2.66</v>
      </c>
      <c r="N62">
        <v>43.6</v>
      </c>
      <c r="O62">
        <v>38</v>
      </c>
      <c r="P62">
        <v>3490.16</v>
      </c>
      <c r="Q62">
        <v>1175.6199999999999</v>
      </c>
    </row>
    <row r="63" spans="1:17" x14ac:dyDescent="0.45">
      <c r="A63" t="str">
        <f t="shared" si="0"/>
        <v>S32037</v>
      </c>
      <c r="B63" t="s">
        <v>961</v>
      </c>
      <c r="C63">
        <v>2037</v>
      </c>
      <c r="D63">
        <v>3795.48</v>
      </c>
      <c r="E63">
        <v>1257.23</v>
      </c>
      <c r="F63">
        <v>305.33</v>
      </c>
      <c r="G63">
        <v>81.61</v>
      </c>
      <c r="H63">
        <v>37.06</v>
      </c>
      <c r="I63">
        <v>26.6</v>
      </c>
      <c r="J63">
        <v>62.24</v>
      </c>
      <c r="K63">
        <v>10.1</v>
      </c>
      <c r="L63">
        <v>158.22</v>
      </c>
      <c r="M63">
        <v>3.06</v>
      </c>
      <c r="N63">
        <v>47.81</v>
      </c>
      <c r="O63">
        <v>41.85</v>
      </c>
      <c r="P63">
        <v>3490.16</v>
      </c>
      <c r="Q63">
        <v>1175.6199999999999</v>
      </c>
    </row>
    <row r="64" spans="1:17" x14ac:dyDescent="0.45">
      <c r="A64" t="str">
        <f t="shared" si="0"/>
        <v>S32038</v>
      </c>
      <c r="B64" t="s">
        <v>961</v>
      </c>
      <c r="C64">
        <v>2038</v>
      </c>
      <c r="D64">
        <v>3821.67</v>
      </c>
      <c r="E64">
        <v>1264.72</v>
      </c>
      <c r="F64">
        <v>331.52</v>
      </c>
      <c r="G64">
        <v>89.1</v>
      </c>
      <c r="H64">
        <v>40.299999999999997</v>
      </c>
      <c r="I64">
        <v>29.2</v>
      </c>
      <c r="J64">
        <v>67.61</v>
      </c>
      <c r="K64">
        <v>11.02</v>
      </c>
      <c r="L64">
        <v>171.83</v>
      </c>
      <c r="M64">
        <v>3.53</v>
      </c>
      <c r="N64">
        <v>51.77</v>
      </c>
      <c r="O64">
        <v>45.34</v>
      </c>
      <c r="P64">
        <v>3490.16</v>
      </c>
      <c r="Q64">
        <v>1175.6199999999999</v>
      </c>
    </row>
    <row r="65" spans="1:17" x14ac:dyDescent="0.45">
      <c r="A65" t="str">
        <f t="shared" si="0"/>
        <v>S32039</v>
      </c>
      <c r="B65" t="s">
        <v>961</v>
      </c>
      <c r="C65">
        <v>2039</v>
      </c>
      <c r="D65">
        <v>3848.06</v>
      </c>
      <c r="E65">
        <v>1271.92</v>
      </c>
      <c r="F65">
        <v>357.91</v>
      </c>
      <c r="G65">
        <v>96.3</v>
      </c>
      <c r="H65">
        <v>43.56</v>
      </c>
      <c r="I65">
        <v>31.88</v>
      </c>
      <c r="J65">
        <v>73.17</v>
      </c>
      <c r="K65">
        <v>11.88</v>
      </c>
      <c r="L65">
        <v>185.49</v>
      </c>
      <c r="M65">
        <v>4</v>
      </c>
      <c r="N65">
        <v>55.69</v>
      </c>
      <c r="O65">
        <v>48.53</v>
      </c>
      <c r="P65">
        <v>3490.16</v>
      </c>
      <c r="Q65">
        <v>1175.6199999999999</v>
      </c>
    </row>
    <row r="66" spans="1:17" x14ac:dyDescent="0.45">
      <c r="A66" t="str">
        <f t="shared" si="0"/>
        <v>S32040</v>
      </c>
      <c r="B66" t="s">
        <v>961</v>
      </c>
      <c r="C66">
        <v>2040</v>
      </c>
      <c r="D66">
        <v>3874.54</v>
      </c>
      <c r="E66">
        <v>1278.8800000000001</v>
      </c>
      <c r="F66">
        <v>384.39</v>
      </c>
      <c r="G66">
        <v>103.26</v>
      </c>
      <c r="H66">
        <v>46.73</v>
      </c>
      <c r="I66">
        <v>34.22</v>
      </c>
      <c r="J66">
        <v>78.819999999999993</v>
      </c>
      <c r="K66">
        <v>12.62</v>
      </c>
      <c r="L66">
        <v>199.19</v>
      </c>
      <c r="M66">
        <v>4.57</v>
      </c>
      <c r="N66">
        <v>59.65</v>
      </c>
      <c r="O66">
        <v>51.84</v>
      </c>
      <c r="P66">
        <v>3490.16</v>
      </c>
      <c r="Q66">
        <v>1175.6199999999999</v>
      </c>
    </row>
    <row r="67" spans="1:17" x14ac:dyDescent="0.45">
      <c r="A67" t="str">
        <f t="shared" ref="A67:A101" si="1">_xlfn.CONCAT(B67:C67)</f>
        <v>S32041</v>
      </c>
      <c r="B67" t="s">
        <v>961</v>
      </c>
      <c r="C67">
        <v>2041</v>
      </c>
      <c r="D67">
        <v>3900.85</v>
      </c>
      <c r="E67">
        <v>1286.98</v>
      </c>
      <c r="F67">
        <v>410.7</v>
      </c>
      <c r="G67">
        <v>111.36</v>
      </c>
      <c r="H67">
        <v>50.06</v>
      </c>
      <c r="I67">
        <v>36.97</v>
      </c>
      <c r="J67">
        <v>84.35</v>
      </c>
      <c r="K67">
        <v>13.54</v>
      </c>
      <c r="L67">
        <v>212.51</v>
      </c>
      <c r="M67">
        <v>5.38</v>
      </c>
      <c r="N67">
        <v>63.76</v>
      </c>
      <c r="O67">
        <v>55.46</v>
      </c>
      <c r="P67">
        <v>3490.16</v>
      </c>
      <c r="Q67">
        <v>1175.6199999999999</v>
      </c>
    </row>
    <row r="68" spans="1:17" x14ac:dyDescent="0.45">
      <c r="A68" t="str">
        <f t="shared" si="1"/>
        <v>S32042</v>
      </c>
      <c r="B68" t="s">
        <v>961</v>
      </c>
      <c r="C68">
        <v>2042</v>
      </c>
      <c r="D68">
        <v>3927.06</v>
      </c>
      <c r="E68">
        <v>1295.1199999999999</v>
      </c>
      <c r="F68">
        <v>436.91</v>
      </c>
      <c r="G68">
        <v>119.49</v>
      </c>
      <c r="H68">
        <v>53.17</v>
      </c>
      <c r="I68">
        <v>39.6</v>
      </c>
      <c r="J68">
        <v>89.8</v>
      </c>
      <c r="K68">
        <v>14.35</v>
      </c>
      <c r="L68">
        <v>226.1</v>
      </c>
      <c r="M68">
        <v>6.34</v>
      </c>
      <c r="N68">
        <v>67.84</v>
      </c>
      <c r="O68">
        <v>59.2</v>
      </c>
      <c r="P68">
        <v>3490.16</v>
      </c>
      <c r="Q68">
        <v>1175.6199999999999</v>
      </c>
    </row>
    <row r="69" spans="1:17" x14ac:dyDescent="0.45">
      <c r="A69" t="str">
        <f t="shared" si="1"/>
        <v>S32043</v>
      </c>
      <c r="B69" t="s">
        <v>961</v>
      </c>
      <c r="C69">
        <v>2043</v>
      </c>
      <c r="D69">
        <v>3953.48</v>
      </c>
      <c r="E69">
        <v>1303.29</v>
      </c>
      <c r="F69">
        <v>463.33</v>
      </c>
      <c r="G69">
        <v>127.66</v>
      </c>
      <c r="H69">
        <v>56.48</v>
      </c>
      <c r="I69">
        <v>42.16</v>
      </c>
      <c r="J69">
        <v>95.29</v>
      </c>
      <c r="K69">
        <v>15.23</v>
      </c>
      <c r="L69">
        <v>239.49</v>
      </c>
      <c r="M69">
        <v>7.15</v>
      </c>
      <c r="N69">
        <v>72.069999999999993</v>
      </c>
      <c r="O69">
        <v>63.11</v>
      </c>
      <c r="P69">
        <v>3490.16</v>
      </c>
      <c r="Q69">
        <v>1175.6199999999999</v>
      </c>
    </row>
    <row r="70" spans="1:17" x14ac:dyDescent="0.45">
      <c r="A70" t="str">
        <f t="shared" si="1"/>
        <v>S32044</v>
      </c>
      <c r="B70" t="s">
        <v>961</v>
      </c>
      <c r="C70">
        <v>2044</v>
      </c>
      <c r="D70">
        <v>3980.43</v>
      </c>
      <c r="E70">
        <v>1311.44</v>
      </c>
      <c r="F70">
        <v>490.28</v>
      </c>
      <c r="G70">
        <v>135.82</v>
      </c>
      <c r="H70">
        <v>59.65</v>
      </c>
      <c r="I70">
        <v>44.84</v>
      </c>
      <c r="J70">
        <v>100.73</v>
      </c>
      <c r="K70">
        <v>16.09</v>
      </c>
      <c r="L70">
        <v>253.69</v>
      </c>
      <c r="M70">
        <v>7.99</v>
      </c>
      <c r="N70">
        <v>76.209999999999994</v>
      </c>
      <c r="O70">
        <v>66.89</v>
      </c>
      <c r="P70">
        <v>3490.16</v>
      </c>
      <c r="Q70">
        <v>1175.6199999999999</v>
      </c>
    </row>
    <row r="71" spans="1:17" x14ac:dyDescent="0.45">
      <c r="A71" t="str">
        <f t="shared" si="1"/>
        <v>S32045</v>
      </c>
      <c r="B71" t="s">
        <v>961</v>
      </c>
      <c r="C71">
        <v>2045</v>
      </c>
      <c r="D71">
        <v>4006.91</v>
      </c>
      <c r="E71">
        <v>1319.47</v>
      </c>
      <c r="F71">
        <v>516.76</v>
      </c>
      <c r="G71">
        <v>143.85</v>
      </c>
      <c r="H71">
        <v>62.91</v>
      </c>
      <c r="I71">
        <v>47.45</v>
      </c>
      <c r="J71">
        <v>106.11</v>
      </c>
      <c r="K71">
        <v>16.940000000000001</v>
      </c>
      <c r="L71">
        <v>267.41000000000003</v>
      </c>
      <c r="M71">
        <v>8.8000000000000007</v>
      </c>
      <c r="N71">
        <v>80.319999999999993</v>
      </c>
      <c r="O71">
        <v>70.650000000000006</v>
      </c>
      <c r="P71">
        <v>3490.16</v>
      </c>
      <c r="Q71">
        <v>1175.6199999999999</v>
      </c>
    </row>
    <row r="72" spans="1:17" x14ac:dyDescent="0.45">
      <c r="A72" t="str">
        <f t="shared" si="1"/>
        <v>S32046</v>
      </c>
      <c r="B72" t="s">
        <v>961</v>
      </c>
      <c r="C72">
        <v>2046</v>
      </c>
      <c r="D72">
        <v>4033.28</v>
      </c>
      <c r="E72">
        <v>1328.02</v>
      </c>
      <c r="F72">
        <v>543.13</v>
      </c>
      <c r="G72">
        <v>152.38999999999999</v>
      </c>
      <c r="H72">
        <v>66.17</v>
      </c>
      <c r="I72">
        <v>50.18</v>
      </c>
      <c r="J72">
        <v>111.62</v>
      </c>
      <c r="K72">
        <v>17.82</v>
      </c>
      <c r="L72">
        <v>280.95999999999998</v>
      </c>
      <c r="M72">
        <v>9.7899999999999991</v>
      </c>
      <c r="N72">
        <v>84.38</v>
      </c>
      <c r="O72">
        <v>74.61</v>
      </c>
      <c r="P72">
        <v>3490.16</v>
      </c>
      <c r="Q72">
        <v>1175.6199999999999</v>
      </c>
    </row>
    <row r="73" spans="1:17" x14ac:dyDescent="0.45">
      <c r="A73" t="str">
        <f t="shared" si="1"/>
        <v>S32047</v>
      </c>
      <c r="B73" t="s">
        <v>961</v>
      </c>
      <c r="C73">
        <v>2047</v>
      </c>
      <c r="D73">
        <v>4060.33</v>
      </c>
      <c r="E73">
        <v>1336.1</v>
      </c>
      <c r="F73">
        <v>570.17999999999995</v>
      </c>
      <c r="G73">
        <v>160.47</v>
      </c>
      <c r="H73">
        <v>69.55</v>
      </c>
      <c r="I73">
        <v>52.7</v>
      </c>
      <c r="J73">
        <v>117.25</v>
      </c>
      <c r="K73">
        <v>18.72</v>
      </c>
      <c r="L73">
        <v>294.75</v>
      </c>
      <c r="M73">
        <v>10.42</v>
      </c>
      <c r="N73">
        <v>88.63</v>
      </c>
      <c r="O73">
        <v>78.64</v>
      </c>
      <c r="P73">
        <v>3490.16</v>
      </c>
      <c r="Q73">
        <v>1175.6199999999999</v>
      </c>
    </row>
    <row r="74" spans="1:17" x14ac:dyDescent="0.45">
      <c r="A74" t="str">
        <f t="shared" si="1"/>
        <v>S32048</v>
      </c>
      <c r="B74" t="s">
        <v>961</v>
      </c>
      <c r="C74">
        <v>2048</v>
      </c>
      <c r="D74">
        <v>4087.28</v>
      </c>
      <c r="E74">
        <v>1344.69</v>
      </c>
      <c r="F74">
        <v>597.13</v>
      </c>
      <c r="G74">
        <v>169.07</v>
      </c>
      <c r="H74">
        <v>72.94</v>
      </c>
      <c r="I74">
        <v>55.48</v>
      </c>
      <c r="J74">
        <v>122.92</v>
      </c>
      <c r="K74">
        <v>19.98</v>
      </c>
      <c r="L74">
        <v>308.54000000000002</v>
      </c>
      <c r="M74">
        <v>10.96</v>
      </c>
      <c r="N74">
        <v>92.72</v>
      </c>
      <c r="O74">
        <v>82.64</v>
      </c>
      <c r="P74">
        <v>3490.16</v>
      </c>
      <c r="Q74">
        <v>1175.6199999999999</v>
      </c>
    </row>
    <row r="75" spans="1:17" x14ac:dyDescent="0.45">
      <c r="A75" t="str">
        <f t="shared" si="1"/>
        <v>S32049</v>
      </c>
      <c r="B75" t="s">
        <v>961</v>
      </c>
      <c r="C75">
        <v>2049</v>
      </c>
      <c r="D75">
        <v>4114.1899999999996</v>
      </c>
      <c r="E75">
        <v>1353.38</v>
      </c>
      <c r="F75">
        <v>624.03</v>
      </c>
      <c r="G75">
        <v>177.76</v>
      </c>
      <c r="H75">
        <v>76.36</v>
      </c>
      <c r="I75">
        <v>58.52</v>
      </c>
      <c r="J75">
        <v>128.77000000000001</v>
      </c>
      <c r="K75">
        <v>20.88</v>
      </c>
      <c r="L75">
        <v>322.13</v>
      </c>
      <c r="M75">
        <v>11.81</v>
      </c>
      <c r="N75">
        <v>96.77</v>
      </c>
      <c r="O75">
        <v>86.54</v>
      </c>
      <c r="P75">
        <v>3490.16</v>
      </c>
      <c r="Q75">
        <v>1175.6199999999999</v>
      </c>
    </row>
    <row r="76" spans="1:17" x14ac:dyDescent="0.45">
      <c r="A76" t="str">
        <f t="shared" si="1"/>
        <v>S32050</v>
      </c>
      <c r="B76" t="s">
        <v>961</v>
      </c>
      <c r="C76">
        <v>2050</v>
      </c>
      <c r="D76">
        <v>4141.37</v>
      </c>
      <c r="E76">
        <v>1362.4</v>
      </c>
      <c r="F76">
        <v>651.22</v>
      </c>
      <c r="G76">
        <v>186.78</v>
      </c>
      <c r="H76">
        <v>79.94</v>
      </c>
      <c r="I76">
        <v>61.54</v>
      </c>
      <c r="J76">
        <v>134.30000000000001</v>
      </c>
      <c r="K76">
        <v>21.96</v>
      </c>
      <c r="L76">
        <v>335.95</v>
      </c>
      <c r="M76">
        <v>12.76</v>
      </c>
      <c r="N76">
        <v>101.02</v>
      </c>
      <c r="O76">
        <v>90.52</v>
      </c>
      <c r="P76">
        <v>3490.16</v>
      </c>
      <c r="Q76">
        <v>1175.6199999999999</v>
      </c>
    </row>
    <row r="77" spans="1:17" x14ac:dyDescent="0.45">
      <c r="A77" t="str">
        <f t="shared" si="1"/>
        <v>S42026</v>
      </c>
      <c r="B77" t="s">
        <v>962</v>
      </c>
      <c r="C77">
        <v>2026</v>
      </c>
      <c r="D77">
        <v>3511.58</v>
      </c>
      <c r="E77">
        <v>1180.8399999999999</v>
      </c>
      <c r="F77">
        <v>21.43</v>
      </c>
      <c r="G77">
        <v>5.21</v>
      </c>
      <c r="H77">
        <v>2.0499999999999998</v>
      </c>
      <c r="I77">
        <v>0.81</v>
      </c>
      <c r="J77">
        <v>14.42</v>
      </c>
      <c r="K77">
        <v>2.36</v>
      </c>
      <c r="L77">
        <v>2.36</v>
      </c>
      <c r="M77">
        <v>0</v>
      </c>
      <c r="N77">
        <v>2.59</v>
      </c>
      <c r="O77">
        <v>2.0499999999999998</v>
      </c>
      <c r="P77">
        <v>3490.16</v>
      </c>
      <c r="Q77">
        <v>1175.6199999999999</v>
      </c>
    </row>
    <row r="78" spans="1:17" x14ac:dyDescent="0.45">
      <c r="A78" t="str">
        <f t="shared" si="1"/>
        <v>S42027</v>
      </c>
      <c r="B78" t="s">
        <v>962</v>
      </c>
      <c r="C78">
        <v>2027</v>
      </c>
      <c r="D78">
        <v>3533.08</v>
      </c>
      <c r="E78">
        <v>1186.22</v>
      </c>
      <c r="F78">
        <v>42.93</v>
      </c>
      <c r="G78">
        <v>10.6</v>
      </c>
      <c r="H78">
        <v>3.96</v>
      </c>
      <c r="I78">
        <v>1.58</v>
      </c>
      <c r="J78">
        <v>29.14</v>
      </c>
      <c r="K78">
        <v>4.8099999999999996</v>
      </c>
      <c r="L78">
        <v>4.7</v>
      </c>
      <c r="M78">
        <v>0.02</v>
      </c>
      <c r="N78">
        <v>5.13</v>
      </c>
      <c r="O78">
        <v>4.18</v>
      </c>
      <c r="P78">
        <v>3490.16</v>
      </c>
      <c r="Q78">
        <v>1175.6199999999999</v>
      </c>
    </row>
    <row r="79" spans="1:17" x14ac:dyDescent="0.45">
      <c r="A79" t="str">
        <f t="shared" si="1"/>
        <v>S42028</v>
      </c>
      <c r="B79" t="s">
        <v>962</v>
      </c>
      <c r="C79">
        <v>2028</v>
      </c>
      <c r="D79">
        <v>3554.57</v>
      </c>
      <c r="E79">
        <v>1191.51</v>
      </c>
      <c r="F79">
        <v>64.42</v>
      </c>
      <c r="G79">
        <v>15.88</v>
      </c>
      <c r="H79">
        <v>5.96</v>
      </c>
      <c r="I79">
        <v>2.48</v>
      </c>
      <c r="J79">
        <v>43.7</v>
      </c>
      <c r="K79">
        <v>7.18</v>
      </c>
      <c r="L79">
        <v>7.29</v>
      </c>
      <c r="M79">
        <v>0.04</v>
      </c>
      <c r="N79">
        <v>7.47</v>
      </c>
      <c r="O79">
        <v>6.19</v>
      </c>
      <c r="P79">
        <v>3490.16</v>
      </c>
      <c r="Q79">
        <v>1175.6199999999999</v>
      </c>
    </row>
    <row r="80" spans="1:17" x14ac:dyDescent="0.45">
      <c r="A80" t="str">
        <f t="shared" si="1"/>
        <v>S42029</v>
      </c>
      <c r="B80" t="s">
        <v>962</v>
      </c>
      <c r="C80">
        <v>2029</v>
      </c>
      <c r="D80">
        <v>3576.02</v>
      </c>
      <c r="E80">
        <v>1197.3800000000001</v>
      </c>
      <c r="F80">
        <v>85.87</v>
      </c>
      <c r="G80">
        <v>21.76</v>
      </c>
      <c r="H80">
        <v>8.06</v>
      </c>
      <c r="I80">
        <v>3.67</v>
      </c>
      <c r="J80">
        <v>58.21</v>
      </c>
      <c r="K80">
        <v>9.7899999999999991</v>
      </c>
      <c r="L80">
        <v>9.65</v>
      </c>
      <c r="M80">
        <v>7.0000000000000007E-2</v>
      </c>
      <c r="N80">
        <v>9.94</v>
      </c>
      <c r="O80">
        <v>8.24</v>
      </c>
      <c r="P80">
        <v>3490.16</v>
      </c>
      <c r="Q80">
        <v>1175.6199999999999</v>
      </c>
    </row>
    <row r="81" spans="1:17" x14ac:dyDescent="0.45">
      <c r="A81" t="str">
        <f t="shared" si="1"/>
        <v>S42030</v>
      </c>
      <c r="B81" t="s">
        <v>962</v>
      </c>
      <c r="C81">
        <v>2030</v>
      </c>
      <c r="D81">
        <v>3597.52</v>
      </c>
      <c r="E81">
        <v>1202.58</v>
      </c>
      <c r="F81">
        <v>107.37</v>
      </c>
      <c r="G81">
        <v>26.95</v>
      </c>
      <c r="H81">
        <v>9.9700000000000006</v>
      </c>
      <c r="I81">
        <v>4.5199999999999996</v>
      </c>
      <c r="J81">
        <v>72.92</v>
      </c>
      <c r="K81">
        <v>12.08</v>
      </c>
      <c r="L81">
        <v>12.04</v>
      </c>
      <c r="M81">
        <v>7.0000000000000007E-2</v>
      </c>
      <c r="N81">
        <v>12.44</v>
      </c>
      <c r="O81">
        <v>10.28</v>
      </c>
      <c r="P81">
        <v>3490.16</v>
      </c>
      <c r="Q81">
        <v>1175.6199999999999</v>
      </c>
    </row>
    <row r="82" spans="1:17" x14ac:dyDescent="0.45">
      <c r="A82" t="str">
        <f t="shared" si="1"/>
        <v>S42031</v>
      </c>
      <c r="B82" t="s">
        <v>962</v>
      </c>
      <c r="C82">
        <v>2031</v>
      </c>
      <c r="D82">
        <v>3619.71</v>
      </c>
      <c r="E82">
        <v>1208.1199999999999</v>
      </c>
      <c r="F82">
        <v>129.56</v>
      </c>
      <c r="G82">
        <v>32.49</v>
      </c>
      <c r="H82">
        <v>11.92</v>
      </c>
      <c r="I82">
        <v>5.29</v>
      </c>
      <c r="J82">
        <v>88</v>
      </c>
      <c r="K82">
        <v>14.6</v>
      </c>
      <c r="L82">
        <v>14.51</v>
      </c>
      <c r="M82">
        <v>0.16</v>
      </c>
      <c r="N82">
        <v>15.12</v>
      </c>
      <c r="O82">
        <v>12.44</v>
      </c>
      <c r="P82">
        <v>3490.16</v>
      </c>
      <c r="Q82">
        <v>1175.6199999999999</v>
      </c>
    </row>
    <row r="83" spans="1:17" x14ac:dyDescent="0.45">
      <c r="A83" t="str">
        <f t="shared" si="1"/>
        <v>S42032</v>
      </c>
      <c r="B83" t="s">
        <v>962</v>
      </c>
      <c r="C83">
        <v>2032</v>
      </c>
      <c r="D83">
        <v>3642.12</v>
      </c>
      <c r="E83">
        <v>1213.9000000000001</v>
      </c>
      <c r="F83">
        <v>151.97</v>
      </c>
      <c r="G83">
        <v>38.28</v>
      </c>
      <c r="H83">
        <v>13.84</v>
      </c>
      <c r="I83">
        <v>6.08</v>
      </c>
      <c r="J83">
        <v>103.3</v>
      </c>
      <c r="K83">
        <v>17.3</v>
      </c>
      <c r="L83">
        <v>17.100000000000001</v>
      </c>
      <c r="M83">
        <v>0.16</v>
      </c>
      <c r="N83">
        <v>17.73</v>
      </c>
      <c r="O83">
        <v>14.74</v>
      </c>
      <c r="P83">
        <v>3490.16</v>
      </c>
      <c r="Q83">
        <v>1175.6199999999999</v>
      </c>
    </row>
    <row r="84" spans="1:17" x14ac:dyDescent="0.45">
      <c r="A84" t="str">
        <f t="shared" si="1"/>
        <v>S42033</v>
      </c>
      <c r="B84" t="s">
        <v>962</v>
      </c>
      <c r="C84">
        <v>2033</v>
      </c>
      <c r="D84">
        <v>3664.48</v>
      </c>
      <c r="E84">
        <v>1219.6400000000001</v>
      </c>
      <c r="F84">
        <v>174.33</v>
      </c>
      <c r="G84">
        <v>44.02</v>
      </c>
      <c r="H84">
        <v>15.73</v>
      </c>
      <c r="I84">
        <v>7.09</v>
      </c>
      <c r="J84">
        <v>118.8</v>
      </c>
      <c r="K84">
        <v>19.96</v>
      </c>
      <c r="L84">
        <v>19.53</v>
      </c>
      <c r="M84">
        <v>0.18</v>
      </c>
      <c r="N84">
        <v>20.27</v>
      </c>
      <c r="O84">
        <v>16.78</v>
      </c>
      <c r="P84">
        <v>3490.16</v>
      </c>
      <c r="Q84">
        <v>1175.6199999999999</v>
      </c>
    </row>
    <row r="85" spans="1:17" x14ac:dyDescent="0.45">
      <c r="A85" t="str">
        <f t="shared" si="1"/>
        <v>S42034</v>
      </c>
      <c r="B85" t="s">
        <v>962</v>
      </c>
      <c r="C85">
        <v>2034</v>
      </c>
      <c r="D85">
        <v>3687.25</v>
      </c>
      <c r="E85">
        <v>1226</v>
      </c>
      <c r="F85">
        <v>197.1</v>
      </c>
      <c r="G85">
        <v>50.38</v>
      </c>
      <c r="H85">
        <v>17.75</v>
      </c>
      <c r="I85">
        <v>8.17</v>
      </c>
      <c r="J85">
        <v>134.55000000000001</v>
      </c>
      <c r="K85">
        <v>23.02</v>
      </c>
      <c r="L85">
        <v>22</v>
      </c>
      <c r="M85">
        <v>0.18</v>
      </c>
      <c r="N85">
        <v>22.79</v>
      </c>
      <c r="O85">
        <v>19.010000000000002</v>
      </c>
      <c r="P85">
        <v>3490.16</v>
      </c>
      <c r="Q85">
        <v>1175.6199999999999</v>
      </c>
    </row>
    <row r="86" spans="1:17" x14ac:dyDescent="0.45">
      <c r="A86" t="str">
        <f t="shared" si="1"/>
        <v>S42035</v>
      </c>
      <c r="B86" t="s">
        <v>962</v>
      </c>
      <c r="C86">
        <v>2035</v>
      </c>
      <c r="D86">
        <v>3709.91</v>
      </c>
      <c r="E86">
        <v>1232.3900000000001</v>
      </c>
      <c r="F86">
        <v>219.76</v>
      </c>
      <c r="G86">
        <v>56.77</v>
      </c>
      <c r="H86">
        <v>19.600000000000001</v>
      </c>
      <c r="I86">
        <v>9.02</v>
      </c>
      <c r="J86">
        <v>150.32</v>
      </c>
      <c r="K86">
        <v>26.44</v>
      </c>
      <c r="L86">
        <v>24.55</v>
      </c>
      <c r="M86">
        <v>0.18</v>
      </c>
      <c r="N86">
        <v>25.29</v>
      </c>
      <c r="O86">
        <v>21.13</v>
      </c>
      <c r="P86">
        <v>3490.16</v>
      </c>
      <c r="Q86">
        <v>1175.6199999999999</v>
      </c>
    </row>
    <row r="87" spans="1:17" x14ac:dyDescent="0.45">
      <c r="A87" t="str">
        <f t="shared" si="1"/>
        <v>S42036</v>
      </c>
      <c r="B87" t="s">
        <v>962</v>
      </c>
      <c r="C87">
        <v>2036</v>
      </c>
      <c r="D87">
        <v>3732.88</v>
      </c>
      <c r="E87">
        <v>1238.33</v>
      </c>
      <c r="F87">
        <v>242.73</v>
      </c>
      <c r="G87">
        <v>62.7</v>
      </c>
      <c r="H87">
        <v>21.53</v>
      </c>
      <c r="I87">
        <v>9.86</v>
      </c>
      <c r="J87">
        <v>166.18</v>
      </c>
      <c r="K87">
        <v>29.38</v>
      </c>
      <c r="L87">
        <v>27.14</v>
      </c>
      <c r="M87">
        <v>0.18</v>
      </c>
      <c r="N87">
        <v>27.88</v>
      </c>
      <c r="O87">
        <v>23.29</v>
      </c>
      <c r="P87">
        <v>3490.16</v>
      </c>
      <c r="Q87">
        <v>1175.6199999999999</v>
      </c>
    </row>
    <row r="88" spans="1:17" x14ac:dyDescent="0.45">
      <c r="A88" t="str">
        <f t="shared" si="1"/>
        <v>S42037</v>
      </c>
      <c r="B88" t="s">
        <v>962</v>
      </c>
      <c r="C88">
        <v>2037</v>
      </c>
      <c r="D88">
        <v>3756.02</v>
      </c>
      <c r="E88">
        <v>1244.8399999999999</v>
      </c>
      <c r="F88">
        <v>265.87</v>
      </c>
      <c r="G88">
        <v>69.209999999999994</v>
      </c>
      <c r="H88">
        <v>23.49</v>
      </c>
      <c r="I88">
        <v>11</v>
      </c>
      <c r="J88">
        <v>182.23</v>
      </c>
      <c r="K88">
        <v>32.26</v>
      </c>
      <c r="L88">
        <v>29.63</v>
      </c>
      <c r="M88">
        <v>0.25</v>
      </c>
      <c r="N88">
        <v>30.51</v>
      </c>
      <c r="O88">
        <v>25.7</v>
      </c>
      <c r="P88">
        <v>3490.16</v>
      </c>
      <c r="Q88">
        <v>1175.6199999999999</v>
      </c>
    </row>
    <row r="89" spans="1:17" x14ac:dyDescent="0.45">
      <c r="A89" t="str">
        <f t="shared" si="1"/>
        <v>S42038</v>
      </c>
      <c r="B89" t="s">
        <v>962</v>
      </c>
      <c r="C89">
        <v>2038</v>
      </c>
      <c r="D89">
        <v>3778.88</v>
      </c>
      <c r="E89">
        <v>1250.98</v>
      </c>
      <c r="F89">
        <v>288.73</v>
      </c>
      <c r="G89">
        <v>75.36</v>
      </c>
      <c r="H89">
        <v>25.45</v>
      </c>
      <c r="I89">
        <v>12.08</v>
      </c>
      <c r="J89">
        <v>197.91</v>
      </c>
      <c r="K89">
        <v>35.119999999999997</v>
      </c>
      <c r="L89">
        <v>32.31</v>
      </c>
      <c r="M89">
        <v>0.25</v>
      </c>
      <c r="N89">
        <v>33.049999999999997</v>
      </c>
      <c r="O89">
        <v>27.9</v>
      </c>
      <c r="P89">
        <v>3490.16</v>
      </c>
      <c r="Q89">
        <v>1175.6199999999999</v>
      </c>
    </row>
    <row r="90" spans="1:17" x14ac:dyDescent="0.45">
      <c r="A90" t="str">
        <f t="shared" si="1"/>
        <v>S42039</v>
      </c>
      <c r="B90" t="s">
        <v>962</v>
      </c>
      <c r="C90">
        <v>2039</v>
      </c>
      <c r="D90">
        <v>3801.51</v>
      </c>
      <c r="E90">
        <v>1257.1400000000001</v>
      </c>
      <c r="F90">
        <v>311.36</v>
      </c>
      <c r="G90">
        <v>81.52</v>
      </c>
      <c r="H90">
        <v>27.47</v>
      </c>
      <c r="I90">
        <v>13.14</v>
      </c>
      <c r="J90">
        <v>213.57</v>
      </c>
      <c r="K90">
        <v>38</v>
      </c>
      <c r="L90">
        <v>34.83</v>
      </c>
      <c r="M90">
        <v>0.25</v>
      </c>
      <c r="N90">
        <v>35.479999999999997</v>
      </c>
      <c r="O90">
        <v>30.13</v>
      </c>
      <c r="P90">
        <v>3490.16</v>
      </c>
      <c r="Q90">
        <v>1175.6199999999999</v>
      </c>
    </row>
    <row r="91" spans="1:17" x14ac:dyDescent="0.45">
      <c r="A91" t="str">
        <f t="shared" si="1"/>
        <v>S42040</v>
      </c>
      <c r="B91" t="s">
        <v>962</v>
      </c>
      <c r="C91">
        <v>2040</v>
      </c>
      <c r="D91">
        <v>3824.26</v>
      </c>
      <c r="E91">
        <v>1263.08</v>
      </c>
      <c r="F91">
        <v>334.11</v>
      </c>
      <c r="G91">
        <v>87.45</v>
      </c>
      <c r="H91">
        <v>29.27</v>
      </c>
      <c r="I91">
        <v>14.11</v>
      </c>
      <c r="J91">
        <v>229.57</v>
      </c>
      <c r="K91">
        <v>40.770000000000003</v>
      </c>
      <c r="L91">
        <v>37.299999999999997</v>
      </c>
      <c r="M91">
        <v>0.25</v>
      </c>
      <c r="N91">
        <v>37.96</v>
      </c>
      <c r="O91">
        <v>32.33</v>
      </c>
      <c r="P91">
        <v>3490.16</v>
      </c>
      <c r="Q91">
        <v>1175.6199999999999</v>
      </c>
    </row>
    <row r="92" spans="1:17" x14ac:dyDescent="0.45">
      <c r="A92" t="str">
        <f t="shared" si="1"/>
        <v>S42041</v>
      </c>
      <c r="B92" t="s">
        <v>962</v>
      </c>
      <c r="C92">
        <v>2041</v>
      </c>
      <c r="D92">
        <v>3847.82</v>
      </c>
      <c r="E92">
        <v>1269.92</v>
      </c>
      <c r="F92">
        <v>357.67</v>
      </c>
      <c r="G92">
        <v>94.3</v>
      </c>
      <c r="H92">
        <v>31.18</v>
      </c>
      <c r="I92">
        <v>15.34</v>
      </c>
      <c r="J92">
        <v>245.9</v>
      </c>
      <c r="K92">
        <v>44.01</v>
      </c>
      <c r="L92">
        <v>39.94</v>
      </c>
      <c r="M92">
        <v>0.28999999999999998</v>
      </c>
      <c r="N92">
        <v>40.64</v>
      </c>
      <c r="O92">
        <v>34.65</v>
      </c>
      <c r="P92">
        <v>3490.16</v>
      </c>
      <c r="Q92">
        <v>1175.6199999999999</v>
      </c>
    </row>
    <row r="93" spans="1:17" x14ac:dyDescent="0.45">
      <c r="A93" t="str">
        <f t="shared" si="1"/>
        <v>S42042</v>
      </c>
      <c r="B93" t="s">
        <v>962</v>
      </c>
      <c r="C93">
        <v>2042</v>
      </c>
      <c r="D93">
        <v>3871.26</v>
      </c>
      <c r="E93">
        <v>1276.7</v>
      </c>
      <c r="F93">
        <v>381.11</v>
      </c>
      <c r="G93">
        <v>101.08</v>
      </c>
      <c r="H93">
        <v>33.1</v>
      </c>
      <c r="I93">
        <v>16.7</v>
      </c>
      <c r="J93">
        <v>262.24</v>
      </c>
      <c r="K93">
        <v>47.14</v>
      </c>
      <c r="L93">
        <v>42.48</v>
      </c>
      <c r="M93">
        <v>0.28999999999999998</v>
      </c>
      <c r="N93">
        <v>43.29</v>
      </c>
      <c r="O93">
        <v>36.94</v>
      </c>
      <c r="P93">
        <v>3490.16</v>
      </c>
      <c r="Q93">
        <v>1175.6199999999999</v>
      </c>
    </row>
    <row r="94" spans="1:17" x14ac:dyDescent="0.45">
      <c r="A94" t="str">
        <f t="shared" si="1"/>
        <v>S42043</v>
      </c>
      <c r="B94" t="s">
        <v>962</v>
      </c>
      <c r="C94">
        <v>2043</v>
      </c>
      <c r="D94">
        <v>3894.34</v>
      </c>
      <c r="E94">
        <v>1283.24</v>
      </c>
      <c r="F94">
        <v>404.19</v>
      </c>
      <c r="G94">
        <v>107.62</v>
      </c>
      <c r="H94">
        <v>35.08</v>
      </c>
      <c r="I94">
        <v>17.77</v>
      </c>
      <c r="J94">
        <v>278.12</v>
      </c>
      <c r="K94">
        <v>50.22</v>
      </c>
      <c r="L94">
        <v>45.09</v>
      </c>
      <c r="M94">
        <v>0.32</v>
      </c>
      <c r="N94">
        <v>45.9</v>
      </c>
      <c r="O94">
        <v>39.31</v>
      </c>
      <c r="P94">
        <v>3490.16</v>
      </c>
      <c r="Q94">
        <v>1175.6199999999999</v>
      </c>
    </row>
    <row r="95" spans="1:17" x14ac:dyDescent="0.45">
      <c r="A95" t="str">
        <f t="shared" si="1"/>
        <v>S42044</v>
      </c>
      <c r="B95" t="s">
        <v>962</v>
      </c>
      <c r="C95">
        <v>2044</v>
      </c>
      <c r="D95">
        <v>3917.68</v>
      </c>
      <c r="E95">
        <v>1290.3499999999999</v>
      </c>
      <c r="F95">
        <v>427.53</v>
      </c>
      <c r="G95">
        <v>114.72</v>
      </c>
      <c r="H95">
        <v>36.99</v>
      </c>
      <c r="I95">
        <v>19.170000000000002</v>
      </c>
      <c r="J95">
        <v>294.41000000000003</v>
      </c>
      <c r="K95">
        <v>53.68</v>
      </c>
      <c r="L95">
        <v>47.63</v>
      </c>
      <c r="M95">
        <v>0.4</v>
      </c>
      <c r="N95">
        <v>48.49</v>
      </c>
      <c r="O95">
        <v>41.47</v>
      </c>
      <c r="P95">
        <v>3490.16</v>
      </c>
      <c r="Q95">
        <v>1175.6199999999999</v>
      </c>
    </row>
    <row r="96" spans="1:17" x14ac:dyDescent="0.45">
      <c r="A96" t="str">
        <f t="shared" si="1"/>
        <v>S42045</v>
      </c>
      <c r="B96" t="s">
        <v>962</v>
      </c>
      <c r="C96">
        <v>2045</v>
      </c>
      <c r="D96">
        <v>3940.94</v>
      </c>
      <c r="E96">
        <v>1297.5999999999999</v>
      </c>
      <c r="F96">
        <v>450.79</v>
      </c>
      <c r="G96">
        <v>121.97</v>
      </c>
      <c r="H96">
        <v>38.92</v>
      </c>
      <c r="I96">
        <v>20.38</v>
      </c>
      <c r="J96">
        <v>310.41000000000003</v>
      </c>
      <c r="K96">
        <v>57.4</v>
      </c>
      <c r="L96">
        <v>50.29</v>
      </c>
      <c r="M96">
        <v>0.45</v>
      </c>
      <c r="N96">
        <v>51.16</v>
      </c>
      <c r="O96">
        <v>43.74</v>
      </c>
      <c r="P96">
        <v>3490.16</v>
      </c>
      <c r="Q96">
        <v>1175.6199999999999</v>
      </c>
    </row>
    <row r="97" spans="1:17" x14ac:dyDescent="0.45">
      <c r="A97" t="str">
        <f t="shared" si="1"/>
        <v>S42046</v>
      </c>
      <c r="B97" t="s">
        <v>962</v>
      </c>
      <c r="C97">
        <v>2046</v>
      </c>
      <c r="D97">
        <v>3964.41</v>
      </c>
      <c r="E97">
        <v>1304.6600000000001</v>
      </c>
      <c r="F97">
        <v>474.26</v>
      </c>
      <c r="G97">
        <v>129.04</v>
      </c>
      <c r="H97">
        <v>40.880000000000003</v>
      </c>
      <c r="I97">
        <v>21.94</v>
      </c>
      <c r="J97">
        <v>326.77</v>
      </c>
      <c r="K97">
        <v>60.73</v>
      </c>
      <c r="L97">
        <v>52.74</v>
      </c>
      <c r="M97">
        <v>0.54</v>
      </c>
      <c r="N97">
        <v>53.86</v>
      </c>
      <c r="O97">
        <v>45.83</v>
      </c>
      <c r="P97">
        <v>3490.16</v>
      </c>
      <c r="Q97">
        <v>1175.6199999999999</v>
      </c>
    </row>
    <row r="98" spans="1:17" x14ac:dyDescent="0.45">
      <c r="A98" t="str">
        <f t="shared" si="1"/>
        <v>S42047</v>
      </c>
      <c r="B98" t="s">
        <v>962</v>
      </c>
      <c r="C98">
        <v>2047</v>
      </c>
      <c r="D98">
        <v>3988.15</v>
      </c>
      <c r="E98">
        <v>1311.55</v>
      </c>
      <c r="F98">
        <v>498</v>
      </c>
      <c r="G98">
        <v>135.91999999999999</v>
      </c>
      <c r="H98">
        <v>42.84</v>
      </c>
      <c r="I98">
        <v>23.22</v>
      </c>
      <c r="J98">
        <v>343.37</v>
      </c>
      <c r="K98">
        <v>64.349999999999994</v>
      </c>
      <c r="L98">
        <v>55.26</v>
      </c>
      <c r="M98">
        <v>0.61</v>
      </c>
      <c r="N98">
        <v>56.52</v>
      </c>
      <c r="O98">
        <v>47.74</v>
      </c>
      <c r="P98">
        <v>3490.16</v>
      </c>
      <c r="Q98">
        <v>1175.6199999999999</v>
      </c>
    </row>
    <row r="99" spans="1:17" x14ac:dyDescent="0.45">
      <c r="A99" t="str">
        <f t="shared" si="1"/>
        <v>S42048</v>
      </c>
      <c r="B99" t="s">
        <v>962</v>
      </c>
      <c r="C99">
        <v>2048</v>
      </c>
      <c r="D99">
        <v>4011.73</v>
      </c>
      <c r="E99">
        <v>1318.43</v>
      </c>
      <c r="F99">
        <v>521.58000000000004</v>
      </c>
      <c r="G99">
        <v>142.81</v>
      </c>
      <c r="H99">
        <v>44.8</v>
      </c>
      <c r="I99">
        <v>24.62</v>
      </c>
      <c r="J99">
        <v>359.73</v>
      </c>
      <c r="K99">
        <v>67.819999999999993</v>
      </c>
      <c r="L99">
        <v>57.85</v>
      </c>
      <c r="M99">
        <v>0.63</v>
      </c>
      <c r="N99">
        <v>59.2</v>
      </c>
      <c r="O99">
        <v>49.75</v>
      </c>
      <c r="P99">
        <v>3490.16</v>
      </c>
      <c r="Q99">
        <v>1175.6199999999999</v>
      </c>
    </row>
    <row r="100" spans="1:17" x14ac:dyDescent="0.45">
      <c r="A100" t="str">
        <f t="shared" si="1"/>
        <v>S42049</v>
      </c>
      <c r="B100" t="s">
        <v>962</v>
      </c>
      <c r="C100">
        <v>2049</v>
      </c>
      <c r="D100">
        <v>4035.02</v>
      </c>
      <c r="E100">
        <v>1325.66</v>
      </c>
      <c r="F100">
        <v>544.87</v>
      </c>
      <c r="G100">
        <v>150.04</v>
      </c>
      <c r="H100">
        <v>46.8</v>
      </c>
      <c r="I100">
        <v>26.08</v>
      </c>
      <c r="J100">
        <v>375.79</v>
      </c>
      <c r="K100">
        <v>71.28</v>
      </c>
      <c r="L100">
        <v>60.41</v>
      </c>
      <c r="M100">
        <v>0.72</v>
      </c>
      <c r="N100">
        <v>61.85</v>
      </c>
      <c r="O100">
        <v>51.95</v>
      </c>
      <c r="P100">
        <v>3490.16</v>
      </c>
      <c r="Q100">
        <v>1175.6199999999999</v>
      </c>
    </row>
    <row r="101" spans="1:17" x14ac:dyDescent="0.45">
      <c r="A101" t="str">
        <f t="shared" si="1"/>
        <v>S42050</v>
      </c>
      <c r="B101" t="s">
        <v>962</v>
      </c>
      <c r="C101">
        <v>2050</v>
      </c>
      <c r="D101">
        <v>4058.55</v>
      </c>
      <c r="E101">
        <v>1333.01</v>
      </c>
      <c r="F101">
        <v>568.4</v>
      </c>
      <c r="G101">
        <v>157.38</v>
      </c>
      <c r="H101">
        <v>48.85</v>
      </c>
      <c r="I101">
        <v>27.65</v>
      </c>
      <c r="J101">
        <v>392.2</v>
      </c>
      <c r="K101">
        <v>74.77</v>
      </c>
      <c r="L101">
        <v>62.86</v>
      </c>
      <c r="M101">
        <v>0.83</v>
      </c>
      <c r="N101">
        <v>64.48</v>
      </c>
      <c r="O101">
        <v>54.14</v>
      </c>
      <c r="P101">
        <v>3490.16</v>
      </c>
      <c r="Q101">
        <v>1175.6199999999999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9CAF-A8F1-4231-B376-9686C4AC2DAE}">
  <dimension ref="A1"/>
  <sheetViews>
    <sheetView workbookViewId="0"/>
  </sheetViews>
  <sheetFormatPr defaultRowHeight="14.25" x14ac:dyDescent="0.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5289-D37F-4179-B15A-50E2026BE8BE}">
  <dimension ref="A1:I17"/>
  <sheetViews>
    <sheetView workbookViewId="0">
      <selection activeCell="D22" sqref="D22"/>
    </sheetView>
  </sheetViews>
  <sheetFormatPr defaultRowHeight="14.25" x14ac:dyDescent="0.45"/>
  <cols>
    <col min="3" max="6" width="13.59765625" customWidth="1"/>
    <col min="7" max="7" width="13.59765625" style="41" customWidth="1"/>
    <col min="8" max="8" width="13.59765625" customWidth="1"/>
    <col min="9" max="9" width="13.59765625" style="41" customWidth="1"/>
  </cols>
  <sheetData>
    <row r="1" spans="1:9" s="46" customFormat="1" ht="43.15" thickBot="1" x14ac:dyDescent="0.5">
      <c r="A1" s="46" t="s">
        <v>145</v>
      </c>
      <c r="B1" s="46" t="s">
        <v>944</v>
      </c>
      <c r="C1" s="46" t="s">
        <v>963</v>
      </c>
      <c r="D1" s="46" t="s">
        <v>946</v>
      </c>
      <c r="E1" s="46" t="s">
        <v>966</v>
      </c>
      <c r="F1" s="46" t="s">
        <v>950</v>
      </c>
      <c r="G1" s="103" t="s">
        <v>964</v>
      </c>
      <c r="H1" t="s">
        <v>954</v>
      </c>
      <c r="I1" s="103" t="s">
        <v>965</v>
      </c>
    </row>
    <row r="2" spans="1:9" x14ac:dyDescent="0.45">
      <c r="A2" s="99" t="s">
        <v>959</v>
      </c>
      <c r="B2" s="99">
        <v>2026</v>
      </c>
      <c r="C2" s="99">
        <f>INDEX('R079-082 results'!$A$1:$Q$101,MATCH(_xlfn.CONCAT(framework_paper!$A2:$B2),'R079-082 results'!$A:$A,0),MATCH(C$1,'R079-082 results'!$A$1:$Q$1,0))</f>
        <v>3515.08</v>
      </c>
      <c r="D2" s="99">
        <f>INDEX('R079-082 results'!$A$1:$Q$101,MATCH(_xlfn.CONCAT(framework_paper!$A2:$B2),'R079-082 results'!$A:$A,0),MATCH(D$1,'R079-082 results'!$A$1:$Q$1,0))</f>
        <v>1180.82</v>
      </c>
      <c r="E2" s="100">
        <f>D2/C2</f>
        <v>0.33592976546764225</v>
      </c>
      <c r="F2" s="99">
        <f>INDEX('R079-082 results'!$A$1:$Q$101,MATCH(_xlfn.CONCAT(framework_paper!$A2:$B2),'R079-082 results'!$A:$A,0),MATCH(F$1,'R079-082 results'!$A$1:$Q$1,0))</f>
        <v>1.33</v>
      </c>
      <c r="G2" s="100">
        <f>F2/D2</f>
        <v>1.1263359360444438E-3</v>
      </c>
      <c r="H2" s="99">
        <f>INDEX('R079-082 results'!$A$1:$Q$101,MATCH(_xlfn.CONCAT(framework_paper!$A2:$B2),'R079-082 results'!$A:$A,0),MATCH(H$1,'R079-082 results'!$A$1:$Q$1,0))</f>
        <v>0.18</v>
      </c>
      <c r="I2" s="100">
        <f>H2/D2</f>
        <v>1.5243644247218036E-4</v>
      </c>
    </row>
    <row r="3" spans="1:9" x14ac:dyDescent="0.45">
      <c r="A3" t="s">
        <v>959</v>
      </c>
      <c r="B3">
        <v>2030</v>
      </c>
      <c r="C3">
        <f>INDEX('R079-082 results'!$A$1:$Q$101,MATCH(_xlfn.CONCAT(framework_paper!$A3:$B3),'R079-082 results'!$A:$A,0),MATCH(C$1,'R079-082 results'!$A$1:$Q$1,0))</f>
        <v>3615.62</v>
      </c>
      <c r="D3">
        <f>INDEX('R079-082 results'!$A$1:$Q$101,MATCH(_xlfn.CONCAT(framework_paper!$A3:$B3),'R079-082 results'!$A:$A,0),MATCH(D$1,'R079-082 results'!$A$1:$Q$1,0))</f>
        <v>1206.56</v>
      </c>
      <c r="E3" s="41">
        <f t="shared" ref="E3:E17" si="0">D3/C3</f>
        <v>0.33370763520502705</v>
      </c>
      <c r="F3">
        <f>INDEX('R079-082 results'!$A$1:$Q$101,MATCH(_xlfn.CONCAT(framework_paper!$A3:$B3),'R079-082 results'!$A:$A,0),MATCH(F$1,'R079-082 results'!$A$1:$Q$1,0))</f>
        <v>9.56</v>
      </c>
      <c r="G3" s="41">
        <f t="shared" ref="G3:G17" si="1">F3/D3</f>
        <v>7.9233523405383907E-3</v>
      </c>
      <c r="H3">
        <f>INDEX('R079-082 results'!$A$1:$Q$101,MATCH(_xlfn.CONCAT(framework_paper!$A3:$B3),'R079-082 results'!$A:$A,0),MATCH(H$1,'R079-082 results'!$A$1:$Q$1,0))</f>
        <v>0.99</v>
      </c>
      <c r="I3" s="41">
        <f t="shared" ref="I3:I17" si="2">H3/D3</f>
        <v>8.2051452062060733E-4</v>
      </c>
    </row>
    <row r="4" spans="1:9" x14ac:dyDescent="0.45">
      <c r="A4" t="s">
        <v>959</v>
      </c>
      <c r="B4">
        <v>2040</v>
      </c>
      <c r="C4">
        <f>INDEX('R079-082 results'!$A$1:$Q$101,MATCH(_xlfn.CONCAT(framework_paper!$A4:$B4),'R079-082 results'!$A:$A,0),MATCH(C$1,'R079-082 results'!$A$1:$Q$1,0))</f>
        <v>3875.78</v>
      </c>
      <c r="D4">
        <f>INDEX('R079-082 results'!$A$1:$Q$101,MATCH(_xlfn.CONCAT(framework_paper!$A4:$B4),'R079-082 results'!$A:$A,0),MATCH(D$1,'R079-082 results'!$A$1:$Q$1,0))</f>
        <v>1280.23</v>
      </c>
      <c r="E4" s="41">
        <f t="shared" si="0"/>
        <v>0.33031544618115577</v>
      </c>
      <c r="F4">
        <f>INDEX('R079-082 results'!$A$1:$Q$101,MATCH(_xlfn.CONCAT(framework_paper!$A4:$B4),'R079-082 results'!$A:$A,0),MATCH(F$1,'R079-082 results'!$A$1:$Q$1,0))</f>
        <v>35.01</v>
      </c>
      <c r="G4" s="41">
        <f t="shared" si="1"/>
        <v>2.7346648649070868E-2</v>
      </c>
      <c r="H4">
        <f>INDEX('R079-082 results'!$A$1:$Q$101,MATCH(_xlfn.CONCAT(framework_paper!$A4:$B4),'R079-082 results'!$A:$A,0),MATCH(H$1,'R079-082 results'!$A$1:$Q$1,0))</f>
        <v>4.88</v>
      </c>
      <c r="I4" s="41">
        <f t="shared" si="2"/>
        <v>3.8118150644806011E-3</v>
      </c>
    </row>
    <row r="5" spans="1:9" ht="14.65" thickBot="1" x14ac:dyDescent="0.5">
      <c r="A5" t="s">
        <v>959</v>
      </c>
      <c r="B5">
        <v>2050</v>
      </c>
      <c r="C5">
        <f>INDEX('R079-082 results'!$A$1:$Q$101,MATCH(_xlfn.CONCAT(framework_paper!$A5:$B5),'R079-082 results'!$A:$A,0),MATCH(C$1,'R079-082 results'!$A$1:$Q$1,0))</f>
        <v>4141.78</v>
      </c>
      <c r="D5">
        <f>INDEX('R079-082 results'!$A$1:$Q$101,MATCH(_xlfn.CONCAT(framework_paper!$A5:$B5),'R079-082 results'!$A:$A,0),MATCH(D$1,'R079-082 results'!$A$1:$Q$1,0))</f>
        <v>1362.06</v>
      </c>
      <c r="E5" s="41">
        <f t="shared" si="0"/>
        <v>0.32885860668601424</v>
      </c>
      <c r="F5">
        <f>INDEX('R079-082 results'!$A$1:$Q$101,MATCH(_xlfn.CONCAT(framework_paper!$A5:$B5),'R079-082 results'!$A:$A,0),MATCH(F$1,'R079-082 results'!$A$1:$Q$1,0))</f>
        <v>61.38</v>
      </c>
      <c r="G5" s="41">
        <f t="shared" si="1"/>
        <v>4.5064094092771248E-2</v>
      </c>
      <c r="H5">
        <f>INDEX('R079-082 results'!$A$1:$Q$101,MATCH(_xlfn.CONCAT(framework_paper!$A5:$B5),'R079-082 results'!$A:$A,0),MATCH(H$1,'R079-082 results'!$A$1:$Q$1,0))</f>
        <v>13.14</v>
      </c>
      <c r="I5" s="41">
        <f t="shared" si="2"/>
        <v>9.6471521078366606E-3</v>
      </c>
    </row>
    <row r="6" spans="1:9" x14ac:dyDescent="0.45">
      <c r="A6" s="99" t="s">
        <v>960</v>
      </c>
      <c r="B6" s="99">
        <v>2026</v>
      </c>
      <c r="C6" s="99">
        <f>INDEX('R079-082 results'!$A$1:$Q$101,MATCH(_xlfn.CONCAT(framework_paper!$A6:$B6),'R079-082 results'!$A:$A,0),MATCH(C$1,'R079-082 results'!$A$1:$Q$1,0))</f>
        <v>3516.66</v>
      </c>
      <c r="D6" s="99">
        <f>INDEX('R079-082 results'!$A$1:$Q$101,MATCH(_xlfn.CONCAT(framework_paper!$A6:$B6),'R079-082 results'!$A:$A,0),MATCH(D$1,'R079-082 results'!$A$1:$Q$1,0))</f>
        <v>1184.51</v>
      </c>
      <c r="E6" s="100">
        <f t="shared" si="0"/>
        <v>0.33682812668839185</v>
      </c>
      <c r="F6" s="99">
        <f>INDEX('R079-082 results'!$A$1:$Q$101,MATCH(_xlfn.CONCAT(framework_paper!$A6:$B6),'R079-082 results'!$A:$A,0),MATCH(F$1,'R079-082 results'!$A$1:$Q$1,0))</f>
        <v>0.54</v>
      </c>
      <c r="G6" s="100">
        <f t="shared" si="1"/>
        <v>4.5588471182176601E-4</v>
      </c>
      <c r="H6" s="99">
        <f>INDEX('R079-082 results'!$A$1:$Q$101,MATCH(_xlfn.CONCAT(framework_paper!$A6:$B6),'R079-082 results'!$A:$A,0),MATCH(H$1,'R079-082 results'!$A$1:$Q$1,0))</f>
        <v>0.16</v>
      </c>
      <c r="I6" s="100">
        <f t="shared" si="2"/>
        <v>1.3507695165089362E-4</v>
      </c>
    </row>
    <row r="7" spans="1:9" x14ac:dyDescent="0.45">
      <c r="A7" t="s">
        <v>960</v>
      </c>
      <c r="B7">
        <v>2030</v>
      </c>
      <c r="C7">
        <f>INDEX('R079-082 results'!$A$1:$Q$101,MATCH(_xlfn.CONCAT(framework_paper!$A7:$B7),'R079-082 results'!$A:$A,0),MATCH(C$1,'R079-082 results'!$A$1:$Q$1,0))</f>
        <v>3623.36</v>
      </c>
      <c r="D7">
        <f>INDEX('R079-082 results'!$A$1:$Q$101,MATCH(_xlfn.CONCAT(framework_paper!$A7:$B7),'R079-082 results'!$A:$A,0),MATCH(D$1,'R079-082 results'!$A$1:$Q$1,0))</f>
        <v>1223.55</v>
      </c>
      <c r="E7" s="41">
        <f t="shared" si="0"/>
        <v>0.33768380729488651</v>
      </c>
      <c r="F7">
        <f>INDEX('R079-082 results'!$A$1:$Q$101,MATCH(_xlfn.CONCAT(framework_paper!$A7:$B7),'R079-082 results'!$A:$A,0),MATCH(F$1,'R079-082 results'!$A$1:$Q$1,0))</f>
        <v>2.56</v>
      </c>
      <c r="G7" s="41">
        <f t="shared" si="1"/>
        <v>2.0922724857995179E-3</v>
      </c>
      <c r="H7">
        <f>INDEX('R079-082 results'!$A$1:$Q$101,MATCH(_xlfn.CONCAT(framework_paper!$A7:$B7),'R079-082 results'!$A:$A,0),MATCH(H$1,'R079-082 results'!$A$1:$Q$1,0))</f>
        <v>0.45</v>
      </c>
      <c r="I7" s="41">
        <f t="shared" si="2"/>
        <v>3.677822728944465E-4</v>
      </c>
    </row>
    <row r="8" spans="1:9" x14ac:dyDescent="0.45">
      <c r="A8" t="s">
        <v>960</v>
      </c>
      <c r="B8">
        <v>2040</v>
      </c>
      <c r="C8">
        <f>INDEX('R079-082 results'!$A$1:$Q$101,MATCH(_xlfn.CONCAT(framework_paper!$A8:$B8),'R079-082 results'!$A:$A,0),MATCH(C$1,'R079-082 results'!$A$1:$Q$1,0))</f>
        <v>3899.9</v>
      </c>
      <c r="D8">
        <f>INDEX('R079-082 results'!$A$1:$Q$101,MATCH(_xlfn.CONCAT(framework_paper!$A8:$B8),'R079-082 results'!$A:$A,0),MATCH(D$1,'R079-082 results'!$A$1:$Q$1,0))</f>
        <v>1323.32</v>
      </c>
      <c r="E8" s="41">
        <f t="shared" si="0"/>
        <v>0.33932152106464264</v>
      </c>
      <c r="F8">
        <f>INDEX('R079-082 results'!$A$1:$Q$101,MATCH(_xlfn.CONCAT(framework_paper!$A8:$B8),'R079-082 results'!$A:$A,0),MATCH(F$1,'R079-082 results'!$A$1:$Q$1,0))</f>
        <v>8.73</v>
      </c>
      <c r="G8" s="41">
        <f t="shared" si="1"/>
        <v>6.5970437989299651E-3</v>
      </c>
      <c r="H8">
        <f>INDEX('R079-082 results'!$A$1:$Q$101,MATCH(_xlfn.CONCAT(framework_paper!$A8:$B8),'R079-082 results'!$A:$A,0),MATCH(H$1,'R079-082 results'!$A$1:$Q$1,0))</f>
        <v>1.1499999999999999</v>
      </c>
      <c r="I8" s="41">
        <f t="shared" si="2"/>
        <v>8.6902638817519572E-4</v>
      </c>
    </row>
    <row r="9" spans="1:9" ht="14.65" thickBot="1" x14ac:dyDescent="0.5">
      <c r="A9" t="s">
        <v>960</v>
      </c>
      <c r="B9">
        <v>2050</v>
      </c>
      <c r="C9">
        <f>INDEX('R079-082 results'!$A$1:$Q$101,MATCH(_xlfn.CONCAT(framework_paper!$A9:$B9),'R079-082 results'!$A:$A,0),MATCH(C$1,'R079-082 results'!$A$1:$Q$1,0))</f>
        <v>4184.08</v>
      </c>
      <c r="D9">
        <f>INDEX('R079-082 results'!$A$1:$Q$101,MATCH(_xlfn.CONCAT(framework_paper!$A9:$B9),'R079-082 results'!$A:$A,0),MATCH(D$1,'R079-082 results'!$A$1:$Q$1,0))</f>
        <v>1431.36</v>
      </c>
      <c r="E9" s="41">
        <f t="shared" si="0"/>
        <v>0.34209670943194204</v>
      </c>
      <c r="F9">
        <f>INDEX('R079-082 results'!$A$1:$Q$101,MATCH(_xlfn.CONCAT(framework_paper!$A9:$B9),'R079-082 results'!$A:$A,0),MATCH(F$1,'R079-082 results'!$A$1:$Q$1,0))</f>
        <v>15.23</v>
      </c>
      <c r="G9" s="41">
        <f t="shared" si="1"/>
        <v>1.0640230270511962E-2</v>
      </c>
      <c r="H9">
        <f>INDEX('R079-082 results'!$A$1:$Q$101,MATCH(_xlfn.CONCAT(framework_paper!$A9:$B9),'R079-082 results'!$A:$A,0),MATCH(H$1,'R079-082 results'!$A$1:$Q$1,0))</f>
        <v>1.93</v>
      </c>
      <c r="I9" s="41">
        <f t="shared" si="2"/>
        <v>1.3483679856919294E-3</v>
      </c>
    </row>
    <row r="10" spans="1:9" x14ac:dyDescent="0.45">
      <c r="A10" s="99" t="s">
        <v>961</v>
      </c>
      <c r="B10" s="99">
        <v>2026</v>
      </c>
      <c r="C10" s="99">
        <f>INDEX('R079-082 results'!$A$1:$Q$101,MATCH(_xlfn.CONCAT(framework_paper!$A10:$B10),'R079-082 results'!$A:$A,0),MATCH(C$1,'R079-082 results'!$A$1:$Q$1,0))</f>
        <v>3515.06</v>
      </c>
      <c r="D10" s="99">
        <f>INDEX('R079-082 results'!$A$1:$Q$101,MATCH(_xlfn.CONCAT(framework_paper!$A10:$B10),'R079-082 results'!$A:$A,0),MATCH(D$1,'R079-082 results'!$A$1:$Q$1,0))</f>
        <v>1180.82</v>
      </c>
      <c r="E10" s="100">
        <f t="shared" si="0"/>
        <v>0.33593167684193154</v>
      </c>
      <c r="F10" s="99">
        <f>INDEX('R079-082 results'!$A$1:$Q$101,MATCH(_xlfn.CONCAT(framework_paper!$A10:$B10),'R079-082 results'!$A:$A,0),MATCH(F$1,'R079-082 results'!$A$1:$Q$1,0))</f>
        <v>1.3</v>
      </c>
      <c r="G10" s="100">
        <f t="shared" si="1"/>
        <v>1.1009298622990805E-3</v>
      </c>
      <c r="H10" s="99">
        <f>INDEX('R079-082 results'!$A$1:$Q$101,MATCH(_xlfn.CONCAT(framework_paper!$A10:$B10),'R079-082 results'!$A:$A,0),MATCH(H$1,'R079-082 results'!$A$1:$Q$1,0))</f>
        <v>0.18</v>
      </c>
      <c r="I10" s="100">
        <f t="shared" si="2"/>
        <v>1.5243644247218036E-4</v>
      </c>
    </row>
    <row r="11" spans="1:9" x14ac:dyDescent="0.45">
      <c r="A11" t="s">
        <v>961</v>
      </c>
      <c r="B11">
        <v>2030</v>
      </c>
      <c r="C11">
        <f>INDEX('R079-082 results'!$A$1:$Q$101,MATCH(_xlfn.CONCAT(framework_paper!$A11:$B11),'R079-082 results'!$A:$A,0),MATCH(C$1,'R079-082 results'!$A$1:$Q$1,0))</f>
        <v>3614.78</v>
      </c>
      <c r="D11">
        <f>INDEX('R079-082 results'!$A$1:$Q$101,MATCH(_xlfn.CONCAT(framework_paper!$A11:$B11),'R079-082 results'!$A:$A,0),MATCH(D$1,'R079-082 results'!$A$1:$Q$1,0))</f>
        <v>1206.3800000000001</v>
      </c>
      <c r="E11" s="41">
        <f t="shared" si="0"/>
        <v>0.33373538638589351</v>
      </c>
      <c r="F11">
        <f>INDEX('R079-082 results'!$A$1:$Q$101,MATCH(_xlfn.CONCAT(framework_paper!$A11:$B11),'R079-082 results'!$A:$A,0),MATCH(F$1,'R079-082 results'!$A$1:$Q$1,0))</f>
        <v>9.43</v>
      </c>
      <c r="G11" s="41">
        <f t="shared" si="1"/>
        <v>7.8167741507650986E-3</v>
      </c>
      <c r="H11">
        <f>INDEX('R079-082 results'!$A$1:$Q$101,MATCH(_xlfn.CONCAT(framework_paper!$A11:$B11),'R079-082 results'!$A:$A,0),MATCH(H$1,'R079-082 results'!$A$1:$Q$1,0))</f>
        <v>1.03</v>
      </c>
      <c r="I11" s="41">
        <f t="shared" si="2"/>
        <v>8.5379399525854207E-4</v>
      </c>
    </row>
    <row r="12" spans="1:9" x14ac:dyDescent="0.45">
      <c r="A12" t="s">
        <v>961</v>
      </c>
      <c r="B12">
        <v>2040</v>
      </c>
      <c r="C12">
        <f>INDEX('R079-082 results'!$A$1:$Q$101,MATCH(_xlfn.CONCAT(framework_paper!$A12:$B12),'R079-082 results'!$A:$A,0),MATCH(C$1,'R079-082 results'!$A$1:$Q$1,0))</f>
        <v>3874.54</v>
      </c>
      <c r="D12">
        <f>INDEX('R079-082 results'!$A$1:$Q$101,MATCH(_xlfn.CONCAT(framework_paper!$A12:$B12),'R079-082 results'!$A:$A,0),MATCH(D$1,'R079-082 results'!$A$1:$Q$1,0))</f>
        <v>1278.8800000000001</v>
      </c>
      <c r="E12" s="41">
        <f t="shared" si="0"/>
        <v>0.33007273121454422</v>
      </c>
      <c r="F12">
        <f>INDEX('R079-082 results'!$A$1:$Q$101,MATCH(_xlfn.CONCAT(framework_paper!$A12:$B12),'R079-082 results'!$A:$A,0),MATCH(F$1,'R079-082 results'!$A$1:$Q$1,0))</f>
        <v>34.22</v>
      </c>
      <c r="G12" s="41">
        <f t="shared" si="1"/>
        <v>2.6757788064556483E-2</v>
      </c>
      <c r="H12">
        <f>INDEX('R079-082 results'!$A$1:$Q$101,MATCH(_xlfn.CONCAT(framework_paper!$A12:$B12),'R079-082 results'!$A:$A,0),MATCH(H$1,'R079-082 results'!$A$1:$Q$1,0))</f>
        <v>4.57</v>
      </c>
      <c r="I12" s="41">
        <f t="shared" si="2"/>
        <v>3.573439259351933E-3</v>
      </c>
    </row>
    <row r="13" spans="1:9" ht="14.65" thickBot="1" x14ac:dyDescent="0.5">
      <c r="A13" t="s">
        <v>961</v>
      </c>
      <c r="B13">
        <v>2050</v>
      </c>
      <c r="C13">
        <f>INDEX('R079-082 results'!$A$1:$Q$101,MATCH(_xlfn.CONCAT(framework_paper!$A13:$B13),'R079-082 results'!$A:$A,0),MATCH(C$1,'R079-082 results'!$A$1:$Q$1,0))</f>
        <v>4141.37</v>
      </c>
      <c r="D13">
        <f>INDEX('R079-082 results'!$A$1:$Q$101,MATCH(_xlfn.CONCAT(framework_paper!$A13:$B13),'R079-082 results'!$A:$A,0),MATCH(D$1,'R079-082 results'!$A$1:$Q$1,0))</f>
        <v>1362.4</v>
      </c>
      <c r="E13" s="41">
        <f t="shared" si="0"/>
        <v>0.32897326247111464</v>
      </c>
      <c r="F13">
        <f>INDEX('R079-082 results'!$A$1:$Q$101,MATCH(_xlfn.CONCAT(framework_paper!$A13:$B13),'R079-082 results'!$A:$A,0),MATCH(F$1,'R079-082 results'!$A$1:$Q$1,0))</f>
        <v>61.54</v>
      </c>
      <c r="G13" s="41">
        <f t="shared" si="1"/>
        <v>4.5170287727539629E-2</v>
      </c>
      <c r="H13">
        <f>INDEX('R079-082 results'!$A$1:$Q$101,MATCH(_xlfn.CONCAT(framework_paper!$A13:$B13),'R079-082 results'!$A:$A,0),MATCH(H$1,'R079-082 results'!$A$1:$Q$1,0))</f>
        <v>12.76</v>
      </c>
      <c r="I13" s="41">
        <f t="shared" si="2"/>
        <v>9.3658250146799755E-3</v>
      </c>
    </row>
    <row r="14" spans="1:9" x14ac:dyDescent="0.45">
      <c r="A14" s="99" t="s">
        <v>962</v>
      </c>
      <c r="B14" s="99">
        <v>2026</v>
      </c>
      <c r="C14" s="99">
        <f>INDEX('R079-082 results'!$A$1:$Q$101,MATCH(_xlfn.CONCAT(framework_paper!$A14:$B14),'R079-082 results'!$A:$A,0),MATCH(C$1,'R079-082 results'!$A$1:$Q$1,0))</f>
        <v>3511.58</v>
      </c>
      <c r="D14" s="99">
        <f>INDEX('R079-082 results'!$A$1:$Q$101,MATCH(_xlfn.CONCAT(framework_paper!$A14:$B14),'R079-082 results'!$A:$A,0),MATCH(D$1,'R079-082 results'!$A$1:$Q$1,0))</f>
        <v>1180.8399999999999</v>
      </c>
      <c r="E14" s="100">
        <f t="shared" si="0"/>
        <v>0.33627028289260102</v>
      </c>
      <c r="F14" s="99">
        <f>INDEX('R079-082 results'!$A$1:$Q$101,MATCH(_xlfn.CONCAT(framework_paper!$A14:$B14),'R079-082 results'!$A:$A,0),MATCH(F$1,'R079-082 results'!$A$1:$Q$1,0))</f>
        <v>0.81</v>
      </c>
      <c r="G14" s="100">
        <f t="shared" si="1"/>
        <v>6.8595237288709737E-4</v>
      </c>
      <c r="H14" s="99">
        <f>INDEX('R079-082 results'!$A$1:$Q$101,MATCH(_xlfn.CONCAT(framework_paper!$A14:$B14),'R079-082 results'!$A:$A,0),MATCH(H$1,'R079-082 results'!$A$1:$Q$1,0))</f>
        <v>0</v>
      </c>
      <c r="I14" s="100">
        <f t="shared" si="2"/>
        <v>0</v>
      </c>
    </row>
    <row r="15" spans="1:9" x14ac:dyDescent="0.45">
      <c r="A15" t="s">
        <v>962</v>
      </c>
      <c r="B15">
        <v>2030</v>
      </c>
      <c r="C15">
        <f>INDEX('R079-082 results'!$A$1:$Q$101,MATCH(_xlfn.CONCAT(framework_paper!$A15:$B15),'R079-082 results'!$A:$A,0),MATCH(C$1,'R079-082 results'!$A$1:$Q$1,0))</f>
        <v>3597.52</v>
      </c>
      <c r="D15">
        <f>INDEX('R079-082 results'!$A$1:$Q$101,MATCH(_xlfn.CONCAT(framework_paper!$A15:$B15),'R079-082 results'!$A:$A,0),MATCH(D$1,'R079-082 results'!$A$1:$Q$1,0))</f>
        <v>1202.58</v>
      </c>
      <c r="E15" s="41">
        <f t="shared" si="0"/>
        <v>0.33428028197202514</v>
      </c>
      <c r="F15">
        <f>INDEX('R079-082 results'!$A$1:$Q$101,MATCH(_xlfn.CONCAT(framework_paper!$A15:$B15),'R079-082 results'!$A:$A,0),MATCH(F$1,'R079-082 results'!$A$1:$Q$1,0))</f>
        <v>4.5199999999999996</v>
      </c>
      <c r="G15" s="41">
        <f t="shared" si="1"/>
        <v>3.7585857073957657E-3</v>
      </c>
      <c r="H15">
        <f>INDEX('R079-082 results'!$A$1:$Q$101,MATCH(_xlfn.CONCAT(framework_paper!$A15:$B15),'R079-082 results'!$A:$A,0),MATCH(H$1,'R079-082 results'!$A$1:$Q$1,0))</f>
        <v>7.0000000000000007E-2</v>
      </c>
      <c r="I15" s="41">
        <f t="shared" si="2"/>
        <v>5.8208185734005232E-5</v>
      </c>
    </row>
    <row r="16" spans="1:9" x14ac:dyDescent="0.45">
      <c r="A16" t="s">
        <v>962</v>
      </c>
      <c r="B16">
        <v>2040</v>
      </c>
      <c r="C16">
        <f>INDEX('R079-082 results'!$A$1:$Q$101,MATCH(_xlfn.CONCAT(framework_paper!$A16:$B16),'R079-082 results'!$A:$A,0),MATCH(C$1,'R079-082 results'!$A$1:$Q$1,0))</f>
        <v>3824.26</v>
      </c>
      <c r="D16">
        <f>INDEX('R079-082 results'!$A$1:$Q$101,MATCH(_xlfn.CONCAT(framework_paper!$A16:$B16),'R079-082 results'!$A:$A,0),MATCH(D$1,'R079-082 results'!$A$1:$Q$1,0))</f>
        <v>1263.08</v>
      </c>
      <c r="E16" s="41">
        <f t="shared" si="0"/>
        <v>0.33028089094360735</v>
      </c>
      <c r="F16">
        <f>INDEX('R079-082 results'!$A$1:$Q$101,MATCH(_xlfn.CONCAT(framework_paper!$A16:$B16),'R079-082 results'!$A:$A,0),MATCH(F$1,'R079-082 results'!$A$1:$Q$1,0))</f>
        <v>14.11</v>
      </c>
      <c r="G16" s="41">
        <f t="shared" si="1"/>
        <v>1.1171105551509009E-2</v>
      </c>
      <c r="H16">
        <f>INDEX('R079-082 results'!$A$1:$Q$101,MATCH(_xlfn.CONCAT(framework_paper!$A16:$B16),'R079-082 results'!$A:$A,0),MATCH(H$1,'R079-082 results'!$A$1:$Q$1,0))</f>
        <v>0.25</v>
      </c>
      <c r="I16" s="41">
        <f t="shared" si="2"/>
        <v>1.979288722804573E-4</v>
      </c>
    </row>
    <row r="17" spans="1:9" ht="14.65" thickBot="1" x14ac:dyDescent="0.5">
      <c r="A17" s="101" t="s">
        <v>962</v>
      </c>
      <c r="B17" s="101">
        <v>2050</v>
      </c>
      <c r="C17" s="101">
        <f>INDEX('R079-082 results'!$A$1:$Q$101,MATCH(_xlfn.CONCAT(framework_paper!$A17:$B17),'R079-082 results'!$A:$A,0),MATCH(C$1,'R079-082 results'!$A$1:$Q$1,0))</f>
        <v>4058.55</v>
      </c>
      <c r="D17" s="101">
        <f>INDEX('R079-082 results'!$A$1:$Q$101,MATCH(_xlfn.CONCAT(framework_paper!$A17:$B17),'R079-082 results'!$A:$A,0),MATCH(D$1,'R079-082 results'!$A$1:$Q$1,0))</f>
        <v>1333.01</v>
      </c>
      <c r="E17" s="102">
        <f t="shared" si="0"/>
        <v>0.32844488795259391</v>
      </c>
      <c r="F17" s="101">
        <f>INDEX('R079-082 results'!$A$1:$Q$101,MATCH(_xlfn.CONCAT(framework_paper!$A17:$B17),'R079-082 results'!$A:$A,0),MATCH(F$1,'R079-082 results'!$A$1:$Q$1,0))</f>
        <v>27.65</v>
      </c>
      <c r="G17" s="102">
        <f t="shared" si="1"/>
        <v>2.0742530063540408E-2</v>
      </c>
      <c r="H17" s="101">
        <f>INDEX('R079-082 results'!$A$1:$Q$101,MATCH(_xlfn.CONCAT(framework_paper!$A17:$B17),'R079-082 results'!$A:$A,0),MATCH(H$1,'R079-082 results'!$A$1:$Q$1,0))</f>
        <v>0.83</v>
      </c>
      <c r="I17" s="102">
        <f t="shared" si="2"/>
        <v>6.2265099286576994E-4</v>
      </c>
    </row>
  </sheetData>
  <phoneticPr fontId="19"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SSP assumptions</vt:lpstr>
      <vt:lpstr>SSP paper</vt:lpstr>
      <vt:lpstr>GHSL</vt:lpstr>
      <vt:lpstr>IIASA SSPs</vt:lpstr>
      <vt:lpstr>BPS</vt:lpstr>
      <vt:lpstr>pop_calculation_ssp</vt:lpstr>
      <vt:lpstr>expenditure quintiles</vt:lpstr>
      <vt:lpstr>HDI</vt:lpstr>
      <vt:lpstr>from_gdp_raster</vt:lpstr>
      <vt:lpstr>scenario_params</vt:lpstr>
      <vt:lpstr>utlity_weights</vt:lpstr>
      <vt:lpstr>R079-082 results</vt:lpstr>
      <vt:lpstr>R087-089 results</vt:lpstr>
      <vt:lpstr>framework_paper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Santos</cp:lastModifiedBy>
  <dcterms:created xsi:type="dcterms:W3CDTF">2025-06-27T16:52:10Z</dcterms:created>
  <dcterms:modified xsi:type="dcterms:W3CDTF">2026-10-28T09:35:51Z</dcterms:modified>
</cp:coreProperties>
</file>